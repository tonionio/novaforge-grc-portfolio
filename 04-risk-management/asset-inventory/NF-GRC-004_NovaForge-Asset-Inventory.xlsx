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07a4a873a48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 Register" sheetId="1" r:id="Rdebe29692b9f43c7"/>
    <x:sheet xmlns:r="http://schemas.openxmlformats.org/officeDocument/2006/relationships" name="Definitions &amp; Dropdowns" sheetId="2" r:id="R610dd294d77147af"/>
    <x:sheet xmlns:r="http://schemas.openxmlformats.org/officeDocument/2006/relationships" name="Asset Summary" sheetId="3" r:id="R983af73cd5764992"/>
    <x:sheet xmlns:r="http://schemas.openxmlformats.org/officeDocument/2006/relationships" name="Revision History" sheetId="4" r:id="Re6767db82d0c45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6">
    <x:font>
      <x:sz val="11"/>
      <x:name val="Carlito"/>
    </x:font>
    <x:font>
      <x:b/>
      <x:sz val="11"/>
      <x:color rgb="FFFCFCFC"/>
      <x:name val="Carlito"/>
    </x:font>
    <x:font>
      <x:b/>
      <x:sz val="11"/>
      <x:color rgb="FF160E1B"/>
      <x:name val="Carlito"/>
    </x:font>
    <x:font>
      <x:sz val="11"/>
      <x:color rgb="FF160E1B"/>
      <x:name val="Carlito"/>
    </x:font>
    <x:font>
      <x:i/>
      <x:sz val="11"/>
      <x:color rgb="FF160E1B"/>
      <x:name val="Carlito"/>
    </x:font>
    <x:font>
      <x:b/>
      <x:sz val="11"/>
      <x:color rgb="FF0A3B76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60E1B"/>
      </x:patternFill>
    </x:fill>
    <x:fill>
      <x:patternFill patternType="solid">
        <x:fgColor rgb="FFCCEA31"/>
      </x:patternFill>
    </x:fill>
    <x:fill>
      <x:patternFill patternType="solid">
        <x:fgColor rgb="FFFCFCFC"/>
      </x:patternFill>
    </x:fill>
    <x:fill>
      <x:patternFill patternType="solid">
        <x:fgColor rgb="FFA9C88C"/>
      </x:patternFill>
    </x:fill>
    <x:fill>
      <x:patternFill patternType="solid">
        <x:fgColor rgb="FF5CA683"/>
      </x:patternFill>
    </x:fill>
    <x:fill>
      <x:patternFill patternType="solid">
        <x:fgColor rgb="FF0A3B76"/>
      </x:patternFill>
    </x:fill>
    <x:fill>
      <x:patternFill patternType="solid">
        <x:fgColor rgb="FFDDEEE7"/>
      </x:patternFill>
    </x:fill>
    <x:fill>
      <x:patternFill patternType="solid">
        <x:fgColor rgb="FFEFF8C8"/>
      </x:patternFill>
    </x:fill>
    <x:fill>
      <x:patternFill patternType="solid">
        <x:fgColor rgb="FFE6F0DC"/>
      </x:patternFill>
    </x:fill>
    <x:fill>
      <x:patternFill patternType="solid">
        <x:fgColor rgb="FFDCE7F3"/>
      </x:patternFill>
    </x:fill>
  </x:fills>
  <x:borders count="26">
    <x:border/>
    <x:border>
      <x:bottom style="thin">
        <x:color rgb="FFCCD7D2"/>
      </x:bottom>
    </x:border>
    <x:border>
      <x:top style="thin">
        <x:color rgb="FFCCD7D2"/>
      </x:top>
    </x:border>
    <x:border>
      <x:left style="thin">
        <x:color rgb="FF5CA683"/>
      </x:left>
      <x:top style="thin">
        <x:color rgb="FF5CA683"/>
      </x:top>
    </x:border>
    <x:border>
      <x:top style="thin">
        <x:color rgb="FF5CA683"/>
      </x:top>
    </x:border>
    <x:border>
      <x:right style="thin">
        <x:color rgb="FF5CA683"/>
      </x:right>
      <x:top style="thin">
        <x:color rgb="FF5CA683"/>
      </x:top>
    </x:border>
    <x:border>
      <x:left style="thin">
        <x:color rgb="FF5CA683"/>
      </x:left>
      <x:bottom style="thin">
        <x:color rgb="FF5CA683"/>
      </x:bottom>
    </x:border>
    <x:border>
      <x:bottom style="thin">
        <x:color rgb="FF5CA683"/>
      </x:bottom>
    </x:border>
    <x:border>
      <x:right style="thin">
        <x:color rgb="FF5CA683"/>
      </x:right>
      <x:bottom style="thin">
        <x:color rgb="FF5CA683"/>
      </x:bottom>
    </x:border>
    <x:border>
      <x:top style="thin">
        <x:color rgb="FFCCD7D2"/>
      </x:top>
      <x:bottom style="thin">
        <x:color rgb="FFCCD7D2"/>
      </x:bottom>
    </x:border>
    <x:border>
      <x:left style="thin">
        <x:color rgb="FFCCD7D2"/>
      </x:left>
      <x:top style="thin">
        <x:color rgb="FFCCD7D2"/>
      </x:top>
      <x:bottom style="thin">
        <x:color rgb="FFCCD7D2"/>
      </x:bottom>
    </x:border>
    <x:border>
      <x:right style="thin">
        <x:color rgb="FFCCD7D2"/>
      </x:right>
      <x:top style="thin">
        <x:color rgb="FFCCD7D2"/>
      </x:top>
      <x:bottom style="thin">
        <x:color rgb="FFCCD7D2"/>
      </x:bottom>
    </x:border>
    <x:border>
      <x:left style="thin">
        <x:color rgb="FFCCD7D2"/>
      </x:left>
      <x:top style="thin">
        <x:color rgb="FFCCD7D2"/>
      </x:top>
    </x:border>
    <x:border>
      <x:right style="thin">
        <x:color rgb="FFCCD7D2"/>
      </x:right>
      <x:top style="thin">
        <x:color rgb="FFCCD7D2"/>
      </x:top>
    </x:border>
    <x:border>
      <x:left style="thin">
        <x:color rgb="FFCCD7D2"/>
      </x:left>
      <x:bottom style="thin">
        <x:color rgb="FFCCD7D2"/>
      </x:bottom>
    </x:border>
    <x:border>
      <x:right style="thin">
        <x:color rgb="FFCCD7D2"/>
      </x:right>
      <x:bottom style="thin">
        <x:color rgb="FFCCD7D2"/>
      </x:bottom>
    </x:border>
    <x:border>
      <x:left style="thin">
        <x:color rgb="FFCCD7D2"/>
      </x:left>
      <x:right style="thin">
        <x:color rgb="FFCCD7D2"/>
      </x:right>
      <x:top style="thin">
        <x:color rgb="FFCCD7D2"/>
      </x:top>
      <x:bottom style="thin">
        <x:color rgb="FFCCD7D2"/>
      </x:bottom>
    </x:border>
    <x:border>
      <x:left style="thin">
        <x:color rgb="FFA9C88C"/>
      </x:left>
      <x:top style="thin">
        <x:color rgb="FFA9C88C"/>
      </x:top>
    </x:border>
    <x:border>
      <x:top style="thin">
        <x:color rgb="FFA9C88C"/>
      </x:top>
    </x:border>
    <x:border>
      <x:right style="thin">
        <x:color rgb="FFA9C88C"/>
      </x:right>
      <x:top style="thin">
        <x:color rgb="FFA9C88C"/>
      </x:top>
    </x:border>
    <x:border>
      <x:left style="thin">
        <x:color rgb="FFA9C88C"/>
      </x:left>
    </x:border>
    <x:border>
      <x:right style="thin">
        <x:color rgb="FFA9C88C"/>
      </x:right>
    </x:border>
    <x:border>
      <x:left style="thin">
        <x:color rgb="FFA9C88C"/>
      </x:left>
      <x:bottom style="thin">
        <x:color rgb="FFA9C88C"/>
      </x:bottom>
    </x:border>
    <x:border>
      <x:bottom style="thin">
        <x:color rgb="FFA9C88C"/>
      </x:bottom>
    </x:border>
    <x:border>
      <x:right style="thin">
        <x:color rgb="FFA9C88C"/>
      </x:right>
      <x:bottom style="thin">
        <x:color rgb="FFA9C88C"/>
      </x:bottom>
    </x:border>
    <x:border>
      <x:left style="thin">
        <x:color rgb="FFA9C88C"/>
      </x:left>
      <x:right style="thin">
        <x:color rgb="FFA9C88C"/>
      </x:right>
      <x:top style="thin">
        <x:color rgb="FFA9C88C"/>
      </x:top>
      <x:bottom style="thin">
        <x:color rgb="FFA9C88C"/>
      </x:bottom>
    </x:border>
  </x:borders>
  <x:cellStyleXfs count="1">
    <x:xf numFmtId="0" fontId="0" fillId="0" borderId="0"/>
  </x:cellStyleXfs>
  <x:cellXfs count="2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2" fillId="5" borderId="1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2" fillId="5" borderId="2" xfId="0" applyNumberFormat="1" applyFont="1" applyFill="1" applyBorder="1" applyAlignment="1">
      <x:alignment vertical="center"/>
    </x:xf>
    <x:xf numFmtId="0" fontId="3" fillId="6" borderId="1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vertical="center"/>
    </x:xf>
    <x:xf numFmtId="0" fontId="3" fillId="6" borderId="2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 applyAlignment="1">
      <x:alignment vertical="center"/>
    </x:xf>
    <x:xf numFmtId="0" fontId="3" fillId="7" borderId="1" xfId="0" applyNumberFormat="1" applyFont="1" applyFill="1" applyBorder="1" applyAlignment="1">
      <x:alignment vertical="center"/>
    </x:xf>
    <x:xf numFmtId="0" fontId="1" fillId="7" borderId="1" xfId="0" applyNumberFormat="1" applyFont="1" applyFill="1" applyBorder="1" applyAlignment="1">
      <x:alignment vertical="center"/>
    </x:xf>
    <x:xf numFmtId="0" fontId="3" fillId="7" borderId="2" xfId="0" applyNumberFormat="1" applyFont="1" applyFill="1" applyBorder="1" applyAlignment="1">
      <x:alignment vertical="center"/>
    </x:xf>
    <x:xf numFmtId="0" fontId="1" fillId="7" borderId="2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200" fontId="3" fillId="4" borderId="2" xfId="0" applyNumberFormat="1" applyFont="1" applyFill="1" applyBorder="1" applyAlignment="1">
      <x:alignment vertical="center"/>
    </x:xf>
    <x:xf numFmtId="201" fontId="3" fillId="4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3" xfId="0" applyNumberFormat="1" applyFont="1" applyFill="1" applyBorder="1"/>
    <x:xf numFmtId="0" fontId="4" fillId="8" borderId="4" xfId="0" applyNumberFormat="1" applyFont="1" applyFill="1" applyBorder="1"/>
    <x:xf numFmtId="0" fontId="4" fillId="8" borderId="5" xfId="0" applyNumberFormat="1" applyFont="1" applyFill="1" applyBorder="1"/>
    <x:xf numFmtId="0" fontId="4" fillId="8" borderId="6" xfId="0" applyNumberFormat="1" applyFont="1" applyFill="1" applyBorder="1"/>
    <x:xf numFmtId="0" fontId="4" fillId="8" borderId="7" xfId="0" applyNumberFormat="1" applyFont="1" applyFill="1" applyBorder="1"/>
    <x:xf numFmtId="0" fontId="4" fillId="8" borderId="8" xfId="0" applyNumberFormat="1" applyFont="1" applyFill="1" applyBorder="1"/>
    <x:xf numFmtId="0" fontId="4" fillId="8" borderId="3" xfId="0" applyNumberFormat="1" applyFont="1" applyFill="1" applyBorder="1" applyAlignment="1">
      <x:alignment wrapText="1"/>
    </x:xf>
    <x:xf numFmtId="0" fontId="4" fillId="8" borderId="4" xfId="0" applyNumberFormat="1" applyFont="1" applyFill="1" applyBorder="1" applyAlignment="1">
      <x:alignment wrapText="1"/>
    </x:xf>
    <x:xf numFmtId="0" fontId="4" fillId="8" borderId="5" xfId="0" applyNumberFormat="1" applyFont="1" applyFill="1" applyBorder="1" applyAlignment="1">
      <x:alignment wrapText="1"/>
    </x:xf>
    <x:xf numFmtId="0" fontId="4" fillId="8" borderId="6" xfId="0" applyNumberFormat="1" applyFont="1" applyFill="1" applyBorder="1" applyAlignment="1">
      <x:alignment wrapText="1"/>
    </x:xf>
    <x:xf numFmtId="0" fontId="4" fillId="8" borderId="7" xfId="0" applyNumberFormat="1" applyFont="1" applyFill="1" applyBorder="1" applyAlignment="1">
      <x:alignment wrapText="1"/>
    </x:xf>
    <x:xf numFmtId="0" fontId="4" fillId="8" borderId="8" xfId="0" applyNumberFormat="1" applyFont="1" applyFill="1" applyBorder="1" applyAlignment="1">
      <x:alignment wrapText="1"/>
    </x:xf>
    <x:xf numFmtId="0" fontId="4" fillId="8" borderId="3" xfId="0" applyNumberFormat="1" applyFont="1" applyFill="1" applyBorder="1" applyAlignment="1">
      <x:alignment vertical="center" wrapText="1"/>
    </x:xf>
    <x:xf numFmtId="0" fontId="4" fillId="8" borderId="4" xfId="0" applyNumberFormat="1" applyFont="1" applyFill="1" applyBorder="1" applyAlignment="1">
      <x:alignment vertical="center" wrapText="1"/>
    </x:xf>
    <x:xf numFmtId="0" fontId="4" fillId="8" borderId="5" xfId="0" applyNumberFormat="1" applyFont="1" applyFill="1" applyBorder="1" applyAlignment="1">
      <x:alignment vertical="center" wrapText="1"/>
    </x:xf>
    <x:xf numFmtId="0" fontId="4" fillId="8" borderId="6" xfId="0" applyNumberFormat="1" applyFont="1" applyFill="1" applyBorder="1" applyAlignment="1">
      <x:alignment vertical="center" wrapText="1"/>
    </x:xf>
    <x:xf numFmtId="0" fontId="4" fillId="8" borderId="7" xfId="0" applyNumberFormat="1" applyFont="1" applyFill="1" applyBorder="1" applyAlignment="1">
      <x:alignment vertical="center" wrapText="1"/>
    </x:xf>
    <x:xf numFmtId="0" fontId="4" fillId="8" borderId="8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9" xfId="0" applyNumberFormat="1" applyFont="1" applyFill="1" applyBorder="1"/>
    <x:xf numFmtId="0" fontId="3" fillId="0" borderId="2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0" fontId="3" fillId="0" borderId="9" xfId="0" applyNumberFormat="1" applyFont="1" applyFill="1" applyBorder="1" applyAlignment="1">
      <x:alignment vertical="top" wrapText="1"/>
    </x:xf>
    <x:xf numFmtId="200" fontId="3" fillId="0" borderId="2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  <x:xf numFmtId="200" fontId="3" fillId="8" borderId="1" xfId="0" applyNumberFormat="1" applyFont="1" applyFill="1" applyBorder="1" applyAlignment="1">
      <x:alignment vertical="top" wrapText="1"/>
    </x:xf>
    <x:xf numFmtId="0" fontId="5" fillId="4" borderId="9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 applyAlignment="1">
      <x:alignment vertical="top" wrapText="1"/>
    </x:xf>
    <x:xf numFmtId="200" fontId="3" fillId="4" borderId="9" xfId="0" applyNumberFormat="1" applyFont="1" applyFill="1" applyBorder="1" applyAlignment="1">
      <x:alignment vertical="top" wrapText="1"/>
    </x:xf>
    <x:xf numFmtId="0" fontId="5" fillId="8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vertical="top" wrapText="1"/>
    </x:xf>
    <x:xf numFmtId="200" fontId="3" fillId="8" borderId="9" xfId="0" applyNumberFormat="1" applyFont="1" applyFill="1" applyBorder="1" applyAlignment="1">
      <x:alignment vertical="top" wrapText="1"/>
    </x:xf>
    <x:xf numFmtId="0" fontId="5" fillId="8" borderId="2" xfId="0" applyNumberFormat="1" applyFont="1" applyFill="1" applyBorder="1" applyAlignment="1">
      <x:alignment vertical="top" wrapText="1"/>
    </x:xf>
    <x:xf numFmtId="0" fontId="3" fillId="8" borderId="2" xfId="0" applyNumberFormat="1" applyFont="1" applyFill="1" applyBorder="1" applyAlignment="1">
      <x:alignment vertical="top" wrapText="1"/>
    </x:xf>
    <x:xf numFmtId="200" fontId="3" fillId="8" borderId="2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/>
    </x:xf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0" xfId="0" applyNumberFormat="1" applyFont="1" applyFill="1" applyBorder="1" applyAlignment="1">
      <x:alignment horizontal="center"/>
    </x:xf>
    <x:xf numFmtId="0" fontId="2" fillId="3" borderId="11" xfId="0" applyNumberFormat="1" applyFont="1" applyFill="1" applyBorder="1" applyAlignment="1">
      <x:alignment horizontal="center"/>
    </x:xf>
    <x:xf numFmtId="0" fontId="2" fillId="3" borderId="10" xfId="0" applyNumberFormat="1" applyFont="1" applyFill="1" applyBorder="1" applyAlignment="1">
      <x:alignment horizontal="center" vertical="center"/>
    </x:xf>
    <x:xf numFmtId="0" fontId="2" fillId="3" borderId="1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12" xfId="0" applyNumberFormat="1" applyFont="1" applyFill="1" applyBorder="1"/>
    <x:xf numFmtId="0" fontId="2" fillId="9" borderId="13" xfId="0" applyNumberFormat="1" applyFont="1" applyFill="1" applyBorder="1"/>
    <x:xf numFmtId="0" fontId="2" fillId="9" borderId="14" xfId="0" applyNumberFormat="1" applyFont="1" applyFill="1" applyBorder="1"/>
    <x:xf numFmtId="0" fontId="2" fillId="9" borderId="15" xfId="0" applyNumberFormat="1" applyFont="1" applyFill="1" applyBorder="1"/>
    <x:xf numFmtId="0" fontId="2" fillId="9" borderId="12" xfId="0" applyNumberFormat="1" applyFont="1" applyFill="1" applyBorder="1" applyAlignment="1">
      <x:alignment horizontal="center"/>
    </x:xf>
    <x:xf numFmtId="0" fontId="2" fillId="9" borderId="13" xfId="0" applyNumberFormat="1" applyFont="1" applyFill="1" applyBorder="1" applyAlignment="1">
      <x:alignment horizontal="center"/>
    </x:xf>
    <x:xf numFmtId="0" fontId="2" fillId="9" borderId="14" xfId="0" applyNumberFormat="1" applyFont="1" applyFill="1" applyBorder="1" applyAlignment="1">
      <x:alignment horizontal="center"/>
    </x:xf>
    <x:xf numFmtId="0" fontId="2" fillId="9" borderId="15" xfId="0" applyNumberFormat="1" applyFont="1" applyFill="1" applyBorder="1" applyAlignment="1">
      <x:alignment horizontal="center"/>
    </x:xf>
    <x:xf numFmtId="0" fontId="2" fillId="9" borderId="12" xfId="0" applyNumberFormat="1" applyFont="1" applyFill="1" applyBorder="1" applyAlignment="1">
      <x:alignment horizontal="center" vertical="center"/>
    </x:xf>
    <x:xf numFmtId="0" fontId="2" fillId="9" borderId="13" xfId="0" applyNumberFormat="1" applyFont="1" applyFill="1" applyBorder="1" applyAlignment="1">
      <x:alignment horizontal="center" vertical="center"/>
    </x:xf>
    <x:xf numFmtId="0" fontId="2" fillId="9" borderId="14" xfId="0" applyNumberFormat="1" applyFont="1" applyFill="1" applyBorder="1" applyAlignment="1">
      <x:alignment horizontal="center" vertical="center"/>
    </x:xf>
    <x:xf numFmtId="0" fontId="2" fillId="9" borderId="15" xfId="0" applyNumberFormat="1" applyFont="1" applyFill="1" applyBorder="1" applyAlignment="1">
      <x:alignment horizontal="center" vertical="center"/>
    </x:xf>
    <x:xf numFmtId="0" fontId="2" fillId="5" borderId="10" xfId="0" applyNumberFormat="1" applyFont="1" applyFill="1" applyBorder="1"/>
    <x:xf numFmtId="0" fontId="2" fillId="5" borderId="11" xfId="0" applyNumberFormat="1" applyFont="1" applyFill="1" applyBorder="1"/>
    <x:xf numFmtId="0" fontId="2" fillId="5" borderId="10" xfId="0" applyNumberFormat="1" applyFont="1" applyFill="1" applyBorder="1" applyAlignment="1">
      <x:alignment horizontal="center"/>
    </x:xf>
    <x:xf numFmtId="0" fontId="2" fillId="5" borderId="11" xfId="0" applyNumberFormat="1" applyFont="1" applyFill="1" applyBorder="1" applyAlignment="1">
      <x:alignment horizontal="center"/>
    </x:xf>
    <x:xf numFmtId="0" fontId="2" fillId="5" borderId="10" xfId="0" applyNumberFormat="1" applyFont="1" applyFill="1" applyBorder="1" applyAlignment="1">
      <x:alignment horizontal="center" vertical="center"/>
    </x:xf>
    <x:xf numFmtId="0" fontId="2" fillId="5" borderId="1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12" xfId="0" applyNumberFormat="1" applyFont="1" applyFill="1" applyBorder="1"/>
    <x:xf numFmtId="0" fontId="2" fillId="10" borderId="13" xfId="0" applyNumberFormat="1" applyFont="1" applyFill="1" applyBorder="1"/>
    <x:xf numFmtId="0" fontId="2" fillId="10" borderId="14" xfId="0" applyNumberFormat="1" applyFont="1" applyFill="1" applyBorder="1"/>
    <x:xf numFmtId="0" fontId="2" fillId="10" borderId="15" xfId="0" applyNumberFormat="1" applyFont="1" applyFill="1" applyBorder="1"/>
    <x:xf numFmtId="0" fontId="2" fillId="10" borderId="12" xfId="0" applyNumberFormat="1" applyFont="1" applyFill="1" applyBorder="1" applyAlignment="1">
      <x:alignment horizontal="center"/>
    </x:xf>
    <x:xf numFmtId="0" fontId="2" fillId="10" borderId="13" xfId="0" applyNumberFormat="1" applyFont="1" applyFill="1" applyBorder="1" applyAlignment="1">
      <x:alignment horizontal="center"/>
    </x:xf>
    <x:xf numFmtId="0" fontId="2" fillId="10" borderId="14" xfId="0" applyNumberFormat="1" applyFont="1" applyFill="1" applyBorder="1" applyAlignment="1">
      <x:alignment horizontal="center"/>
    </x:xf>
    <x:xf numFmtId="0" fontId="2" fillId="10" borderId="15" xfId="0" applyNumberFormat="1" applyFont="1" applyFill="1" applyBorder="1" applyAlignment="1">
      <x:alignment horizontal="center"/>
    </x:xf>
    <x:xf numFmtId="0" fontId="2" fillId="10" borderId="12" xfId="0" applyNumberFormat="1" applyFont="1" applyFill="1" applyBorder="1" applyAlignment="1">
      <x:alignment horizontal="center" vertical="center"/>
    </x:xf>
    <x:xf numFmtId="0" fontId="2" fillId="10" borderId="13" xfId="0" applyNumberFormat="1" applyFont="1" applyFill="1" applyBorder="1" applyAlignment="1">
      <x:alignment horizontal="center" vertical="center"/>
    </x:xf>
    <x:xf numFmtId="0" fontId="2" fillId="10" borderId="14" xfId="0" applyNumberFormat="1" applyFont="1" applyFill="1" applyBorder="1" applyAlignment="1">
      <x:alignment horizontal="center" vertical="center"/>
    </x:xf>
    <x:xf numFmtId="0" fontId="2" fillId="10" borderId="15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10" xfId="0" applyNumberFormat="1" applyFont="1" applyFill="1" applyBorder="1"/>
    <x:xf numFmtId="0" fontId="1" fillId="6" borderId="11" xfId="0" applyNumberFormat="1" applyFont="1" applyFill="1" applyBorder="1"/>
    <x:xf numFmtId="0" fontId="1" fillId="6" borderId="10" xfId="0" applyNumberFormat="1" applyFont="1" applyFill="1" applyBorder="1" applyAlignment="1">
      <x:alignment horizontal="center"/>
    </x:xf>
    <x:xf numFmtId="0" fontId="1" fillId="6" borderId="11" xfId="0" applyNumberFormat="1" applyFont="1" applyFill="1" applyBorder="1" applyAlignment="1">
      <x:alignment horizontal="center"/>
    </x:xf>
    <x:xf numFmtId="0" fontId="1" fillId="6" borderId="10" xfId="0" applyNumberFormat="1" applyFont="1" applyFill="1" applyBorder="1" applyAlignment="1">
      <x:alignment horizontal="center" vertical="center"/>
    </x:xf>
    <x:xf numFmtId="0" fontId="1" fillId="6" borderId="11" xfId="0" applyNumberFormat="1" applyFont="1" applyFill="1" applyBorder="1" applyAlignment="1">
      <x:alignment horizontal="center" vertical="center"/>
    </x:xf>
    <x:xf numFmtId="0" fontId="2" fillId="8" borderId="0" xfId="0" applyNumberFormat="1" applyFont="1" applyFill="1" applyBorder="1"/>
    <x:xf numFmtId="0" fontId="2" fillId="8" borderId="12" xfId="0" applyNumberFormat="1" applyFont="1" applyFill="1" applyBorder="1"/>
    <x:xf numFmtId="0" fontId="2" fillId="8" borderId="13" xfId="0" applyNumberFormat="1" applyFont="1" applyFill="1" applyBorder="1"/>
    <x:xf numFmtId="0" fontId="2" fillId="8" borderId="14" xfId="0" applyNumberFormat="1" applyFont="1" applyFill="1" applyBorder="1"/>
    <x:xf numFmtId="0" fontId="2" fillId="8" borderId="15" xfId="0" applyNumberFormat="1" applyFont="1" applyFill="1" applyBorder="1"/>
    <x:xf numFmtId="0" fontId="2" fillId="8" borderId="12" xfId="0" applyNumberFormat="1" applyFont="1" applyFill="1" applyBorder="1" applyAlignment="1">
      <x:alignment horizontal="center"/>
    </x:xf>
    <x:xf numFmtId="0" fontId="2" fillId="8" borderId="13" xfId="0" applyNumberFormat="1" applyFont="1" applyFill="1" applyBorder="1" applyAlignment="1">
      <x:alignment horizontal="center"/>
    </x:xf>
    <x:xf numFmtId="0" fontId="2" fillId="8" borderId="14" xfId="0" applyNumberFormat="1" applyFont="1" applyFill="1" applyBorder="1" applyAlignment="1">
      <x:alignment horizontal="center"/>
    </x:xf>
    <x:xf numFmtId="0" fontId="2" fillId="8" borderId="15" xfId="0" applyNumberFormat="1" applyFont="1" applyFill="1" applyBorder="1" applyAlignment="1">
      <x:alignment horizontal="center"/>
    </x:xf>
    <x:xf numFmtId="0" fontId="2" fillId="8" borderId="12" xfId="0" applyNumberFormat="1" applyFont="1" applyFill="1" applyBorder="1" applyAlignment="1">
      <x:alignment horizontal="center" vertical="center"/>
    </x:xf>
    <x:xf numFmtId="0" fontId="2" fillId="8" borderId="13" xfId="0" applyNumberFormat="1" applyFont="1" applyFill="1" applyBorder="1" applyAlignment="1">
      <x:alignment horizontal="center" vertical="center"/>
    </x:xf>
    <x:xf numFmtId="0" fontId="2" fillId="8" borderId="14" xfId="0" applyNumberFormat="1" applyFont="1" applyFill="1" applyBorder="1" applyAlignment="1">
      <x:alignment horizontal="center" vertical="center"/>
    </x:xf>
    <x:xf numFmtId="0" fontId="2" fillId="8" borderId="15" xfId="0" applyNumberFormat="1" applyFont="1" applyFill="1" applyBorder="1" applyAlignment="1">
      <x:alignment horizontal="center" vertical="center"/>
    </x:xf>
    <x:xf numFmtId="0" fontId="1" fillId="7" borderId="10" xfId="0" applyNumberFormat="1" applyFont="1" applyFill="1" applyBorder="1"/>
    <x:xf numFmtId="0" fontId="1" fillId="7" borderId="11" xfId="0" applyNumberFormat="1" applyFont="1" applyFill="1" applyBorder="1"/>
    <x:xf numFmtId="0" fontId="1" fillId="7" borderId="10" xfId="0" applyNumberFormat="1" applyFont="1" applyFill="1" applyBorder="1" applyAlignment="1">
      <x:alignment horizontal="center"/>
    </x:xf>
    <x:xf numFmtId="0" fontId="1" fillId="7" borderId="11" xfId="0" applyNumberFormat="1" applyFont="1" applyFill="1" applyBorder="1" applyAlignment="1">
      <x:alignment horizontal="center"/>
    </x:xf>
    <x:xf numFmtId="0" fontId="1" fillId="7" borderId="10" xfId="0" applyNumberFormat="1" applyFont="1" applyFill="1" applyBorder="1" applyAlignment="1">
      <x:alignment horizontal="center" vertical="center"/>
    </x:xf>
    <x:xf numFmtId="0" fontId="1" fillId="7" borderId="11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12" xfId="0" applyNumberFormat="1" applyFont="1" applyFill="1" applyBorder="1"/>
    <x:xf numFmtId="0" fontId="2" fillId="11" borderId="13" xfId="0" applyNumberFormat="1" applyFont="1" applyFill="1" applyBorder="1"/>
    <x:xf numFmtId="0" fontId="2" fillId="11" borderId="14" xfId="0" applyNumberFormat="1" applyFont="1" applyFill="1" applyBorder="1"/>
    <x:xf numFmtId="0" fontId="2" fillId="11" borderId="15" xfId="0" applyNumberFormat="1" applyFont="1" applyFill="1" applyBorder="1"/>
    <x:xf numFmtId="0" fontId="2" fillId="11" borderId="12" xfId="0" applyNumberFormat="1" applyFont="1" applyFill="1" applyBorder="1" applyAlignment="1">
      <x:alignment horizontal="center"/>
    </x:xf>
    <x:xf numFmtId="0" fontId="2" fillId="11" borderId="13" xfId="0" applyNumberFormat="1" applyFont="1" applyFill="1" applyBorder="1" applyAlignment="1">
      <x:alignment horizontal="center"/>
    </x:xf>
    <x:xf numFmtId="0" fontId="2" fillId="11" borderId="14" xfId="0" applyNumberFormat="1" applyFont="1" applyFill="1" applyBorder="1" applyAlignment="1">
      <x:alignment horizontal="center"/>
    </x:xf>
    <x:xf numFmtId="0" fontId="2" fillId="11" borderId="15" xfId="0" applyNumberFormat="1" applyFont="1" applyFill="1" applyBorder="1" applyAlignment="1">
      <x:alignment horizontal="center"/>
    </x:xf>
    <x:xf numFmtId="0" fontId="2" fillId="11" borderId="12" xfId="0" applyNumberFormat="1" applyFont="1" applyFill="1" applyBorder="1" applyAlignment="1">
      <x:alignment horizontal="center" vertical="center"/>
    </x:xf>
    <x:xf numFmtId="0" fontId="2" fillId="11" borderId="13" xfId="0" applyNumberFormat="1" applyFont="1" applyFill="1" applyBorder="1" applyAlignment="1">
      <x:alignment horizontal="center" vertical="center"/>
    </x:xf>
    <x:xf numFmtId="0" fontId="2" fillId="11" borderId="14" xfId="0" applyNumberFormat="1" applyFont="1" applyFill="1" applyBorder="1" applyAlignment="1">
      <x:alignment horizontal="center" vertical="center"/>
    </x:xf>
    <x:xf numFmtId="0" fontId="2" fillId="11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/>
    <x:xf numFmtId="0" fontId="0" fillId="0" borderId="16" xfId="0" applyNumberFormat="1" applyFont="1" applyFill="1" applyBorder="1" applyAlignment="1">
      <x:alignment vertical="center"/>
    </x:xf>
    <x:xf numFmtId="0" fontId="0" fillId="2" borderId="16" xfId="0" applyNumberFormat="1" applyFont="1" applyFill="1" applyBorder="1" applyAlignment="1">
      <x:alignment vertical="center"/>
    </x:xf>
    <x:xf numFmtId="0" fontId="1" fillId="2" borderId="16" xfId="0" applyNumberFormat="1" applyFont="1" applyFill="1" applyBorder="1" applyAlignment="1">
      <x:alignment vertical="center"/>
    </x:xf>
    <x:xf numFmtId="0" fontId="0" fillId="7" borderId="16" xfId="0" applyNumberFormat="1" applyFont="1" applyFill="1" applyBorder="1" applyAlignment="1">
      <x:alignment vertical="center"/>
    </x:xf>
    <x:xf numFmtId="0" fontId="1" fillId="7" borderId="16" xfId="0" applyNumberFormat="1" applyFont="1" applyFill="1" applyBorder="1" applyAlignment="1">
      <x:alignment vertical="center"/>
    </x:xf>
    <x:xf numFmtId="0" fontId="0" fillId="6" borderId="16" xfId="0" applyNumberFormat="1" applyFont="1" applyFill="1" applyBorder="1" applyAlignment="1">
      <x:alignment vertical="center"/>
    </x:xf>
    <x:xf numFmtId="0" fontId="1" fillId="6" borderId="16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/>
    <x:xf numFmtId="0" fontId="4" fillId="10" borderId="17" xfId="0" applyNumberFormat="1" applyFont="1" applyFill="1" applyBorder="1"/>
    <x:xf numFmtId="0" fontId="4" fillId="10" borderId="18" xfId="0" applyNumberFormat="1" applyFont="1" applyFill="1" applyBorder="1"/>
    <x:xf numFmtId="0" fontId="4" fillId="10" borderId="19" xfId="0" applyNumberFormat="1" applyFont="1" applyFill="1" applyBorder="1"/>
    <x:xf numFmtId="0" fontId="4" fillId="10" borderId="20" xfId="0" applyNumberFormat="1" applyFont="1" applyFill="1" applyBorder="1"/>
    <x:xf numFmtId="0" fontId="4" fillId="10" borderId="21" xfId="0" applyNumberFormat="1" applyFont="1" applyFill="1" applyBorder="1"/>
    <x:xf numFmtId="0" fontId="4" fillId="10" borderId="22" xfId="0" applyNumberFormat="1" applyFont="1" applyFill="1" applyBorder="1"/>
    <x:xf numFmtId="0" fontId="4" fillId="10" borderId="23" xfId="0" applyNumberFormat="1" applyFont="1" applyFill="1" applyBorder="1"/>
    <x:xf numFmtId="0" fontId="4" fillId="10" borderId="24" xfId="0" applyNumberFormat="1" applyFont="1" applyFill="1" applyBorder="1"/>
    <x:xf numFmtId="0" fontId="4" fillId="10" borderId="17" xfId="0" applyNumberFormat="1" applyFont="1" applyFill="1" applyBorder="1" applyAlignment="1">
      <x:alignment wrapText="1"/>
    </x:xf>
    <x:xf numFmtId="0" fontId="4" fillId="10" borderId="18" xfId="0" applyNumberFormat="1" applyFont="1" applyFill="1" applyBorder="1" applyAlignment="1">
      <x:alignment wrapText="1"/>
    </x:xf>
    <x:xf numFmtId="0" fontId="4" fillId="10" borderId="19" xfId="0" applyNumberFormat="1" applyFont="1" applyFill="1" applyBorder="1" applyAlignment="1">
      <x:alignment wrapText="1"/>
    </x:xf>
    <x:xf numFmtId="0" fontId="4" fillId="10" borderId="2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wrapText="1"/>
    </x:xf>
    <x:xf numFmtId="0" fontId="4" fillId="10" borderId="21" xfId="0" applyNumberFormat="1" applyFont="1" applyFill="1" applyBorder="1" applyAlignment="1">
      <x:alignment wrapText="1"/>
    </x:xf>
    <x:xf numFmtId="0" fontId="4" fillId="10" borderId="22" xfId="0" applyNumberFormat="1" applyFont="1" applyFill="1" applyBorder="1" applyAlignment="1">
      <x:alignment wrapText="1"/>
    </x:xf>
    <x:xf numFmtId="0" fontId="4" fillId="10" borderId="23" xfId="0" applyNumberFormat="1" applyFont="1" applyFill="1" applyBorder="1" applyAlignment="1">
      <x:alignment wrapText="1"/>
    </x:xf>
    <x:xf numFmtId="0" fontId="4" fillId="10" borderId="24" xfId="0" applyNumberFormat="1" applyFont="1" applyFill="1" applyBorder="1" applyAlignment="1">
      <x:alignment wrapText="1"/>
    </x:xf>
    <x:xf numFmtId="0" fontId="4" fillId="10" borderId="17" xfId="0" applyNumberFormat="1" applyFont="1" applyFill="1" applyBorder="1" applyAlignment="1">
      <x:alignment vertical="center" wrapText="1"/>
    </x:xf>
    <x:xf numFmtId="0" fontId="4" fillId="10" borderId="18" xfId="0" applyNumberFormat="1" applyFont="1" applyFill="1" applyBorder="1" applyAlignment="1">
      <x:alignment vertical="center" wrapText="1"/>
    </x:xf>
    <x:xf numFmtId="0" fontId="4" fillId="10" borderId="19" xfId="0" applyNumberFormat="1" applyFont="1" applyFill="1" applyBorder="1" applyAlignment="1">
      <x:alignment vertical="center" wrapText="1"/>
    </x:xf>
    <x:xf numFmtId="0" fontId="4" fillId="10" borderId="20" xfId="0" applyNumberFormat="1" applyFont="1" applyFill="1" applyBorder="1" applyAlignment="1">
      <x:alignment vertical="center" wrapText="1"/>
    </x:xf>
    <x:xf numFmtId="0" fontId="4" fillId="10" borderId="0" xfId="0" applyNumberFormat="1" applyFont="1" applyFill="1" applyBorder="1" applyAlignment="1">
      <x:alignment vertical="center" wrapText="1"/>
    </x:xf>
    <x:xf numFmtId="0" fontId="4" fillId="10" borderId="21" xfId="0" applyNumberFormat="1" applyFont="1" applyFill="1" applyBorder="1" applyAlignment="1">
      <x:alignment vertical="center" wrapText="1"/>
    </x:xf>
    <x:xf numFmtId="0" fontId="4" fillId="10" borderId="22" xfId="0" applyNumberFormat="1" applyFont="1" applyFill="1" applyBorder="1" applyAlignment="1">
      <x:alignment vertical="center" wrapText="1"/>
    </x:xf>
    <x:xf numFmtId="0" fontId="4" fillId="10" borderId="23" xfId="0" applyNumberFormat="1" applyFont="1" applyFill="1" applyBorder="1" applyAlignment="1">
      <x:alignment vertical="center" wrapText="1"/>
    </x:xf>
    <x:xf numFmtId="0" fontId="4" fillId="10" borderId="24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wrapText="1"/>
    </x:xf>
    <x:xf numFmtId="0" fontId="0" fillId="8" borderId="16" xfId="0" applyNumberFormat="1" applyFont="1" applyFill="1" applyBorder="1"/>
    <x:xf numFmtId="0" fontId="0" fillId="8" borderId="16" xfId="0" applyNumberFormat="1" applyFont="1" applyFill="1" applyBorder="1" applyAlignment="1">
      <x:alignment wrapText="1"/>
    </x:xf>
    <x:xf numFmtId="0" fontId="0" fillId="8" borderId="16" xfId="0" applyNumberFormat="1" applyFont="1" applyFill="1" applyBorder="1" applyAlignment="1">
      <x:alignment vertical="top" wrapText="1"/>
    </x:xf>
    <x:xf numFmtId="200" fontId="0" fillId="8" borderId="16" xfId="0" applyNumberFormat="1" applyFont="1" applyFill="1" applyBorder="1" applyAlignment="1">
      <x:alignment vertical="top" wrapText="1"/>
    </x:xf>
    <x:xf numFmtId="201" fontId="0" fillId="8" borderId="16" xfId="0" applyNumberFormat="1" applyFont="1" applyFill="1" applyBorder="1" applyAlignment="1">
      <x:alignment vertical="top" wrapText="1"/>
    </x:xf>
    <x:xf numFmtId="0" fontId="0" fillId="9" borderId="16" xfId="0" applyNumberFormat="1" applyFont="1" applyFill="1" applyBorder="1" applyAlignment="1">
      <x:alignment vertical="top" wrapText="1"/>
    </x:xf>
    <x:xf numFmtId="0" fontId="2" fillId="9" borderId="16" xfId="0" applyNumberFormat="1" applyFont="1" applyFill="1" applyBorder="1" applyAlignment="1">
      <x:alignment vertical="top" wrapText="1"/>
    </x:xf>
    <x:xf numFmtId="201" fontId="0" fillId="10" borderId="16" xfId="0" applyNumberFormat="1" applyFont="1" applyFill="1" applyBorder="1" applyAlignment="1">
      <x:alignment vertical="top" wrapText="1"/>
    </x:xf>
    <x:xf numFmtId="200" fontId="0" fillId="10" borderId="16" xfId="0" applyNumberFormat="1" applyFont="1" applyFill="1" applyBorder="1" applyAlignment="1">
      <x:alignment vertical="top" wrapText="1"/>
    </x:xf>
    <x:xf numFmtId="0" fontId="0" fillId="10" borderId="16" xfId="0" applyNumberFormat="1" applyFont="1" applyFill="1" applyBorder="1" applyAlignment="1">
      <x:alignment vertical="top" wrapText="1"/>
    </x:xf>
    <x:xf numFmtId="201" fontId="2" fillId="10" borderId="16" xfId="0" applyNumberFormat="1" applyFont="1" applyFill="1" applyBorder="1" applyAlignment="1">
      <x:alignment vertical="top" wrapText="1"/>
    </x:xf>
    <x:xf numFmtId="200" fontId="2" fillId="10" borderId="16" xfId="0" applyNumberFormat="1" applyFont="1" applyFill="1" applyBorder="1" applyAlignment="1">
      <x:alignment vertical="top" wrapText="1"/>
    </x:xf>
    <x:xf numFmtId="0" fontId="2" fillId="10" borderId="16" xfId="0" applyNumberFormat="1" applyFont="1" applyFill="1" applyBorder="1" applyAlignment="1">
      <x:alignment vertical="top" wrapText="1"/>
    </x:xf>
    <x:xf numFmtId="201" fontId="2" fillId="10" borderId="25" xfId="0" applyNumberFormat="1" applyFont="1" applyFill="1" applyBorder="1" applyAlignment="1">
      <x:alignment vertical="top" wrapText="1"/>
    </x:xf>
    <x:xf numFmtId="200" fontId="2" fillId="10" borderId="25" xfId="0" applyNumberFormat="1" applyFont="1" applyFill="1" applyBorder="1" applyAlignment="1">
      <x:alignment vertical="top" wrapText="1"/>
    </x:xf>
    <x:xf numFmtId="0" fontId="2" fillId="10" borderId="25" xfId="0" applyNumberFormat="1" applyFont="1" applyFill="1" applyBorder="1" applyAlignment="1">
      <x:alignment vertical="top" wrapText="1"/>
    </x:xf>
    <x:xf numFmtId="0" fontId="2" fillId="3" borderId="25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FCFCFC"/>
      </x:font>
      <x:fill>
        <x:patternFill patternType="solid">
          <x:bgColor rgb="FF160E1B"/>
        </x:patternFill>
      </x:fill>
    </x:dxf>
    <x:dxf>
      <x:font>
        <x:b/>
        <x:color rgb="FFFCFCFC"/>
      </x:font>
      <x:fill>
        <x:patternFill patternType="solid">
          <x:bgColor rgb="FF0A3B76"/>
        </x:patternFill>
      </x:fill>
    </x:dxf>
    <x:dxf>
      <x:font>
        <x:b/>
        <x:color rgb="FFFCFCFC"/>
      </x:font>
      <x:fill>
        <x:patternFill patternType="solid">
          <x:bgColor rgb="FF5CA683"/>
        </x:patternFill>
      </x:fill>
    </x:dxf>
    <x:dxf>
      <x:font>
        <x:color rgb="FF160E1B"/>
      </x:font>
      <x:fill>
        <x:patternFill patternType="solid">
          <x:bgColor rgb="FFA9C88C"/>
        </x:patternFill>
      </x:fill>
    </x:dxf>
    <x:dxf>
      <x:font>
        <x:b/>
        <x:color rgb="FF160E1B"/>
      </x:font>
      <x:fill>
        <x:patternFill patternType="solid">
          <x:bgColor rgb="FFE6F0DC"/>
        </x:patternFill>
      </x:fill>
    </x:dxf>
    <x:dxf>
      <x:font>
        <x:b/>
        <x:color rgb="FF160E1B"/>
      </x:font>
      <x:fill>
        <x:patternFill patternType="solid">
          <x:bgColor rgb="FFEFF8C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d267fe885240f9" /><Relationship Type="http://schemas.openxmlformats.org/officeDocument/2006/relationships/theme" Target="/xl/theme/theme1.xml" Id="R432544523ee54701" /><Relationship Type="http://schemas.openxmlformats.org/officeDocument/2006/relationships/sharedStrings" Target="/xl/sharedStrings.xml" Id="Rb5bf086d28a14210" /><Relationship Type="http://schemas.openxmlformats.org/officeDocument/2006/relationships/worksheet" Target="/xl/worksheets/sheet1.xml" Id="Rdebe29692b9f43c7" /><Relationship Type="http://schemas.openxmlformats.org/officeDocument/2006/relationships/worksheet" Target="/xl/worksheets/sheet2.xml" Id="R610dd294d77147af" /><Relationship Type="http://schemas.openxmlformats.org/officeDocument/2006/relationships/worksheet" Target="/xl/worksheets/sheet3.xml" Id="R983af73cd5764992" /><Relationship Type="http://schemas.openxmlformats.org/officeDocument/2006/relationships/worksheet" Target="/xl/worksheets/sheet4.xml" Id="Re6767db82d0c45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6c5083438bb4dd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Assets by Business Criticality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Asset Count</c:v>
          </c:tx>
          <c:spPr>
            <a:solidFill xmlns:a="http://schemas.openxmlformats.org/drawingml/2006/main">
              <a:srgbClr val="0A3B76"/>
            </a:solidFill>
          </c:spPr>
          <c:cat>
            <c:strRef>
              <c:f>'Asset Summary'!$A$10:$A$13</c:f>
              <c:strCache>
                <c:ptCount val="0"/>
              </c:strCache>
            </c:strRef>
          </c:cat>
          <c:val>
            <c:numRef>
              <c:f>'Asset Summary'!$B$10:$B$13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8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c5083438bb4dd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ssetRegisterTable" displayName="AssetRegisterTable" ref="A9:T44" headerRowCount="1" totalsRowCount="0" totalsRowShown="0">
  <x:autoFilter ref="A9:T44"/>
  <x:tableColumns count="20">
    <x:tableColumn id="1" name="Asset ID"/>
    <x:tableColumn id="2" name="Asset Name"/>
    <x:tableColumn id="3" name="Asset Category"/>
    <x:tableColumn id="4" name="Description / Business Purpose"/>
    <x:tableColumn id="5" name="Department"/>
    <x:tableColumn id="6" name="Business Owner"/>
    <x:tableColumn id="7" name="Technical Custodian"/>
    <x:tableColumn id="8" name="Location"/>
    <x:tableColumn id="9" name="Environment"/>
    <x:tableColumn id="10" name="Hosting Model"/>
    <x:tableColumn id="11" name="Vendor / Manufacturer"/>
    <x:tableColumn id="12" name="Platform / OS"/>
    <x:tableColumn id="13" name="Data Classification"/>
    <x:tableColumn id="14" name="Business Criticality"/>
    <x:tableColumn id="15" name="Internet-Facing"/>
    <x:tableColumn id="16" name="Sensitive Data"/>
    <x:tableColumn id="17" name="Backup Status"/>
    <x:tableColumn id="18" name="Lifecycle Status"/>
    <x:tableColumn id="19" name="Last Review Date"/>
    <x:tableColumn id="20" name="Notes / Dependencie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aa139667f244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26be9937926a47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21" hidden="0" customWidth="1"/>
    <x:col min="4" max="4" width="38" hidden="0" customWidth="1"/>
    <x:col min="5" max="5" width="23" hidden="0" customWidth="1"/>
    <x:col min="6" max="6" width="26" hidden="0" customWidth="1"/>
    <x:col min="7" max="7" width="25" hidden="0" customWidth="1"/>
    <x:col min="8" max="8" width="22" hidden="0" customWidth="1"/>
    <x:col min="9" max="9" width="18" hidden="0" customWidth="1"/>
    <x:col min="10" max="10" width="19" hidden="0" customWidth="1"/>
    <x:col min="11" max="11" width="24" hidden="0" customWidth="1"/>
    <x:col min="12" max="12" width="24" hidden="0" customWidth="1"/>
    <x:col min="13" max="13" width="18" hidden="0" customWidth="1"/>
    <x:col min="14" max="14" width="18" hidden="0" customWidth="1"/>
    <x:col min="15" max="15" width="14" hidden="0" customWidth="1"/>
    <x:col min="16" max="16" width="14" hidden="0" customWidth="1"/>
    <x:col min="17" max="17" width="16" hidden="0" customWidth="1"/>
    <x:col min="18" max="18" width="16" hidden="0" customWidth="1"/>
    <x:col min="19" max="19" width="15" hidden="0" customWidth="1"/>
    <x:col min="20" max="20" width="40" hidden="0" customWidth="1"/>
  </x:cols>
  <x:sheetData>
    <x:row r="1" ht="34" customHeight="1">
      <x:c r="A1" s="3" t="str">
        <x:v>NF-GRC-004 — NovaForge Information &amp; Technology Asset Inventory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24" customHeight="1">
      <x:c r="A2" s="6" t="str">
        <x:v>Baseline register supporting asset ownership, data classification, risk assessment, and control selection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</x:row>
    <x:row r="4">
      <x:c r="A4" s="14" t="str">
        <x:v>Document ID</x:v>
      </x:c>
      <x:c r="B4" s="11" t="str">
        <x:v>NF-GRC-004</x:v>
      </x:c>
      <x:c r="C4" s="18" t="str">
        <x:v>Version</x:v>
      </x:c>
      <x:c r="D4" s="34" t="str">
        <x:v>1.0</x:v>
      </x:c>
      <x:c r="E4" s="22" t="str">
        <x:v>Status</x:v>
      </x:c>
      <x:c r="F4" s="11" t="str">
        <x:v>Complete</x:v>
      </x:c>
      <x:c r="G4" s="26" t="str">
        <x:v>Classification</x:v>
      </x:c>
      <x:c r="H4" s="11" t="str">
        <x:v>Internal</x:v>
      </x:c>
      <x:c r="I4" s="30" t="str">
        <x:v>Review Cycle</x:v>
      </x:c>
      <x:c r="J4" s="11" t="str">
        <x:v>Quarterly</x:v>
      </x:c>
      <x:c r="L4" s="49" t="str">
        <x:v>Scope: Corporate IT, cloud/SaaS, engineering, manufacturing/OT, business applications, security tooling, and key information assets identified in the approved NovaForge Company Profile.</x:v>
      </x:c>
      <x:c r="M4" s="50"/>
      <x:c r="N4" s="50"/>
      <x:c r="O4" s="50"/>
      <x:c r="P4" s="50"/>
      <x:c r="Q4" s="50"/>
      <x:c r="R4" s="50"/>
      <x:c r="S4" s="50"/>
      <x:c r="T4" s="51"/>
    </x:row>
    <x:row r="5">
      <x:c r="A5" s="16" t="str">
        <x:v>Register Owner</x:v>
      </x:c>
      <x:c r="B5" s="12" t="str">
        <x:v>IT Manager</x:v>
      </x:c>
      <x:c r="C5" s="20" t="str">
        <x:v>Custodian</x:v>
      </x:c>
      <x:c r="D5" s="12" t="str">
        <x:v>GRC Analyst</x:v>
      </x:c>
      <x:c r="E5" s="24" t="str">
        <x:v>Reviewer</x:v>
      </x:c>
      <x:c r="F5" s="12" t="str">
        <x:v>Security Manager</x:v>
      </x:c>
      <x:c r="G5" s="28" t="str">
        <x:v>Approver</x:v>
      </x:c>
      <x:c r="H5" s="12" t="str">
        <x:v>CIO</x:v>
      </x:c>
      <x:c r="I5" s="32" t="str">
        <x:v>Baseline Date</x:v>
      </x:c>
      <x:c r="J5" s="33" t="n">
        <x:v>46250</x:v>
      </x:c>
      <x:c r="L5" s="52"/>
      <x:c r="M5" s="53"/>
      <x:c r="N5" s="53"/>
      <x:c r="O5" s="53"/>
      <x:c r="P5" s="53"/>
      <x:c r="Q5" s="53"/>
      <x:c r="R5" s="53"/>
      <x:c r="S5" s="53"/>
      <x:c r="T5" s="54"/>
    </x:row>
    <x:row r="9" ht="34" customHeight="1">
      <x:c r="A9" s="58" t="str">
        <x:v>Asset ID</x:v>
      </x:c>
      <x:c r="B9" s="58" t="str">
        <x:v>Asset Name</x:v>
      </x:c>
      <x:c r="C9" s="58" t="str">
        <x:v>Asset Category</x:v>
      </x:c>
      <x:c r="D9" s="58" t="str">
        <x:v>Description / Business Purpose</x:v>
      </x:c>
      <x:c r="E9" s="58" t="str">
        <x:v>Department</x:v>
      </x:c>
      <x:c r="F9" s="58" t="str">
        <x:v>Business Owner</x:v>
      </x:c>
      <x:c r="G9" s="58" t="str">
        <x:v>Technical Custodian</x:v>
      </x:c>
      <x:c r="H9" s="58" t="str">
        <x:v>Location</x:v>
      </x:c>
      <x:c r="I9" s="58" t="str">
        <x:v>Environment</x:v>
      </x:c>
      <x:c r="J9" s="58" t="str">
        <x:v>Hosting Model</x:v>
      </x:c>
      <x:c r="K9" s="58" t="str">
        <x:v>Vendor / Manufacturer</x:v>
      </x:c>
      <x:c r="L9" s="58" t="str">
        <x:v>Platform / OS</x:v>
      </x:c>
      <x:c r="M9" s="58" t="str">
        <x:v>Data Classification</x:v>
      </x:c>
      <x:c r="N9" s="58" t="str">
        <x:v>Business Criticality</x:v>
      </x:c>
      <x:c r="O9" s="58" t="str">
        <x:v>Internet-Facing</x:v>
      </x:c>
      <x:c r="P9" s="58" t="str">
        <x:v>Sensitive Data</x:v>
      </x:c>
      <x:c r="Q9" s="58" t="str">
        <x:v>Backup Status</x:v>
      </x:c>
      <x:c r="R9" s="58" t="str">
        <x:v>Lifecycle Status</x:v>
      </x:c>
      <x:c r="S9" s="58" t="str">
        <x:v>Last Review Date</x:v>
      </x:c>
      <x:c r="T9" s="58" t="str">
        <x:v>Notes / Dependencies</x:v>
      </x:c>
    </x:row>
    <x:row r="10" ht="38" customHeight="1">
      <x:c r="A10" s="75" t="str">
        <x:v>NF-AST-001</x:v>
      </x:c>
      <x:c r="B10" s="76" t="str">
        <x:v>Microsoft 365 Tenant</x:v>
      </x:c>
      <x:c r="C10" s="76" t="str">
        <x:v>SaaS</x:v>
      </x:c>
      <x:c r="D10" s="76" t="str">
        <x:v>Enterprise email, collaboration, document sharing, and productivity services.</x:v>
      </x:c>
      <x:c r="E10" s="76" t="str">
        <x:v>Information Technology</x:v>
      </x:c>
      <x:c r="F10" s="76" t="str">
        <x:v>Chief Information Officer (CIO)</x:v>
      </x:c>
      <x:c r="G10" s="76" t="str">
        <x:v>Systems &amp; Cloud Administration</x:v>
      </x:c>
      <x:c r="H10" s="76" t="str">
        <x:v>Microsoft Cloud</x:v>
      </x:c>
      <x:c r="I10" s="76" t="str">
        <x:v>Corporate</x:v>
      </x:c>
      <x:c r="J10" s="76" t="str">
        <x:v>SaaS</x:v>
      </x:c>
      <x:c r="K10" s="76" t="str">
        <x:v>Microsoft</x:v>
      </x:c>
      <x:c r="L10" s="76" t="str">
        <x:v>Microsoft 365</x:v>
      </x:c>
      <x:c r="M10" s="76" t="str">
        <x:v>Confidential</x:v>
      </x:c>
      <x:c r="N10" s="76" t="str">
        <x:v>Critical</x:v>
      </x:c>
      <x:c r="O10" s="76" t="str">
        <x:v>Yes</x:v>
      </x:c>
      <x:c r="P10" s="76" t="str">
        <x:v>Yes</x:v>
      </x:c>
      <x:c r="Q10" s="76" t="str">
        <x:v>Partial</x:v>
      </x:c>
      <x:c r="R10" s="76" t="str">
        <x:v>Active</x:v>
      </x:c>
      <x:c r="S10" s="77" t="n">
        <x:v>46250</x:v>
      </x:c>
      <x:c r="T10" s="76" t="str">
        <x:v>Depends on Microsoft Entra ID; native retention is not a complete independent backup.</x:v>
      </x:c>
    </x:row>
    <x:row r="11" ht="38" customHeight="1">
      <x:c r="A11" s="78" t="str">
        <x:v>NF-AST-002</x:v>
      </x:c>
      <x:c r="B11" s="79" t="str">
        <x:v>Microsoft Entra ID</x:v>
      </x:c>
      <x:c r="C11" s="79" t="str">
        <x:v>Cloud Infrastructure</x:v>
      </x:c>
      <x:c r="D11" s="79" t="str">
        <x:v>Central identity, authentication, conditional access, and account lifecycle platform.</x:v>
      </x:c>
      <x:c r="E11" s="79" t="str">
        <x:v>Information Technology</x:v>
      </x:c>
      <x:c r="F11" s="79" t="str">
        <x:v>Chief Information Officer (CIO)</x:v>
      </x:c>
      <x:c r="G11" s="79" t="str">
        <x:v>Systems &amp; Cloud Administration</x:v>
      </x:c>
      <x:c r="H11" s="79" t="str">
        <x:v>Microsoft Cloud</x:v>
      </x:c>
      <x:c r="I11" s="79" t="str">
        <x:v>Production</x:v>
      </x:c>
      <x:c r="J11" s="79" t="str">
        <x:v>SaaS</x:v>
      </x:c>
      <x:c r="K11" s="79" t="str">
        <x:v>Microsoft</x:v>
      </x:c>
      <x:c r="L11" s="79" t="str">
        <x:v>Microsoft Entra ID</x:v>
      </x:c>
      <x:c r="M11" s="79" t="str">
        <x:v>Restricted</x:v>
      </x:c>
      <x:c r="N11" s="79" t="str">
        <x:v>Critical</x:v>
      </x:c>
      <x:c r="O11" s="79" t="str">
        <x:v>Yes</x:v>
      </x:c>
      <x:c r="P11" s="79" t="str">
        <x:v>Yes</x:v>
      </x:c>
      <x:c r="Q11" s="79" t="str">
        <x:v>Partial</x:v>
      </x:c>
      <x:c r="R11" s="79" t="str">
        <x:v>Active</x:v>
      </x:c>
      <x:c r="S11" s="80" t="n">
        <x:v>46250</x:v>
      </x:c>
      <x:c r="T11" s="79" t="str">
        <x:v>Primary identity provider for Microsoft 365, VPN, and multiple SaaS applications.</x:v>
      </x:c>
    </x:row>
    <x:row r="12" ht="38" customHeight="1">
      <x:c r="A12" s="81" t="str">
        <x:v>NF-AST-003</x:v>
      </x:c>
      <x:c r="B12" s="82" t="str">
        <x:v>AWS Production Environment</x:v>
      </x:c>
      <x:c r="C12" s="82" t="str">
        <x:v>Cloud Infrastructure</x:v>
      </x:c>
      <x:c r="D12" s="82" t="str">
        <x:v>Hosts customer-facing applications, production workloads, storage, and supporting cloud services.</x:v>
      </x:c>
      <x:c r="E12" s="82" t="str">
        <x:v>Information Technology</x:v>
      </x:c>
      <x:c r="F12" s="82" t="str">
        <x:v>Chief Information Officer (CIO)</x:v>
      </x:c>
      <x:c r="G12" s="82" t="str">
        <x:v>Systems &amp; Cloud Administration</x:v>
      </x:c>
      <x:c r="H12" s="82" t="str">
        <x:v>AWS us-west-2</x:v>
      </x:c>
      <x:c r="I12" s="82" t="str">
        <x:v>Production</x:v>
      </x:c>
      <x:c r="J12" s="82" t="str">
        <x:v>Cloud IaaS/PaaS</x:v>
      </x:c>
      <x:c r="K12" s="82" t="str">
        <x:v>Amazon Web Services</x:v>
      </x:c>
      <x:c r="L12" s="82" t="str">
        <x:v>AWS multi-service environment</x:v>
      </x:c>
      <x:c r="M12" s="82" t="str">
        <x:v>Restricted</x:v>
      </x:c>
      <x:c r="N12" s="82" t="str">
        <x:v>Critical</x:v>
      </x:c>
      <x:c r="O12" s="82" t="str">
        <x:v>Yes</x:v>
      </x:c>
      <x:c r="P12" s="82" t="str">
        <x:v>Yes</x:v>
      </x:c>
      <x:c r="Q12" s="82" t="str">
        <x:v>Protected</x:v>
      </x:c>
      <x:c r="R12" s="82" t="str">
        <x:v>Active</x:v>
      </x:c>
      <x:c r="S12" s="83" t="n">
        <x:v>46250</x:v>
      </x:c>
      <x:c r="T12" s="82" t="str">
        <x:v>Supports ForgeVision and NovaCare services; requires centralized logging and resilient backups.</x:v>
      </x:c>
    </x:row>
    <x:row r="13" ht="38" customHeight="1">
      <x:c r="A13" s="78" t="str">
        <x:v>NF-AST-004</x:v>
      </x:c>
      <x:c r="B13" s="79" t="str">
        <x:v>AWS Development and Test Environment</x:v>
      </x:c>
      <x:c r="C13" s="79" t="str">
        <x:v>Cloud Infrastructure</x:v>
      </x:c>
      <x:c r="D13" s="79" t="str">
        <x:v>Non-production environment used for application development, integration testing, and staging.</x:v>
      </x:c>
      <x:c r="E13" s="79" t="str">
        <x:v>Engineering &amp; R&amp;D</x:v>
      </x:c>
      <x:c r="F13" s="79" t="str">
        <x:v>Director of Engineering &amp; R&amp;D</x:v>
      </x:c>
      <x:c r="G13" s="79" t="str">
        <x:v>Software Engineering</x:v>
      </x:c>
      <x:c r="H13" s="79" t="str">
        <x:v>AWS us-west-2</x:v>
      </x:c>
      <x:c r="I13" s="79" t="str">
        <x:v>Development/Test</x:v>
      </x:c>
      <x:c r="J13" s="79" t="str">
        <x:v>Cloud IaaS/PaaS</x:v>
      </x:c>
      <x:c r="K13" s="79" t="str">
        <x:v>Amazon Web Services</x:v>
      </x:c>
      <x:c r="L13" s="79" t="str">
        <x:v>AWS multi-service environment</x:v>
      </x:c>
      <x:c r="M13" s="79" t="str">
        <x:v>Confidential</x:v>
      </x:c>
      <x:c r="N13" s="79" t="str">
        <x:v>Moderate</x:v>
      </x:c>
      <x:c r="O13" s="79" t="str">
        <x:v>No</x:v>
      </x:c>
      <x:c r="P13" s="79" t="str">
        <x:v>Yes</x:v>
      </x:c>
      <x:c r="Q13" s="79" t="str">
        <x:v>Protected</x:v>
      </x:c>
      <x:c r="R13" s="79" t="str">
        <x:v>Active</x:v>
      </x:c>
      <x:c r="S13" s="80" t="n">
        <x:v>46250</x:v>
      </x:c>
      <x:c r="T13" s="79" t="str">
        <x:v>Must remain logically separated from production and use sanitized test data.</x:v>
      </x:c>
    </x:row>
    <x:row r="14" ht="38" customHeight="1">
      <x:c r="A14" s="81" t="str">
        <x:v>NF-AST-005</x:v>
      </x:c>
      <x:c r="B14" s="82" t="str">
        <x:v>GitHub Enterprise Organization</x:v>
      </x:c>
      <x:c r="C14" s="82" t="str">
        <x:v>SaaS</x:v>
      </x:c>
      <x:c r="D14" s="82" t="str">
        <x:v>Source-code management, pull requests, release workflows, and engineering collaboration.</x:v>
      </x:c>
      <x:c r="E14" s="82" t="str">
        <x:v>Engineering &amp; R&amp;D</x:v>
      </x:c>
      <x:c r="F14" s="82" t="str">
        <x:v>Director of Engineering &amp; R&amp;D</x:v>
      </x:c>
      <x:c r="G14" s="82" t="str">
        <x:v>Software Engineering</x:v>
      </x:c>
      <x:c r="H14" s="82" t="str">
        <x:v>GitHub Cloud</x:v>
      </x:c>
      <x:c r="I14" s="82" t="str">
        <x:v>Production</x:v>
      </x:c>
      <x:c r="J14" s="82" t="str">
        <x:v>SaaS</x:v>
      </x:c>
      <x:c r="K14" s="82" t="str">
        <x:v>GitHub</x:v>
      </x:c>
      <x:c r="L14" s="82" t="str">
        <x:v>GitHub Enterprise Cloud</x:v>
      </x:c>
      <x:c r="M14" s="82" t="str">
        <x:v>Restricted</x:v>
      </x:c>
      <x:c r="N14" s="82" t="str">
        <x:v>High</x:v>
      </x:c>
      <x:c r="O14" s="82" t="str">
        <x:v>Yes</x:v>
      </x:c>
      <x:c r="P14" s="82" t="str">
        <x:v>Yes</x:v>
      </x:c>
      <x:c r="Q14" s="82" t="str">
        <x:v>Protected</x:v>
      </x:c>
      <x:c r="R14" s="82" t="str">
        <x:v>Active</x:v>
      </x:c>
      <x:c r="S14" s="83" t="n">
        <x:v>46250</x:v>
      </x:c>
      <x:c r="T14" s="82" t="str">
        <x:v>Contains proprietary source code and CI/CD configuration; federated through Entra ID.</x:v>
      </x:c>
    </x:row>
    <x:row r="15" ht="38" customHeight="1">
      <x:c r="A15" s="78" t="str">
        <x:v>NF-AST-006</x:v>
      </x:c>
      <x:c r="B15" s="79" t="str">
        <x:v>Jira Project Management</x:v>
      </x:c>
      <x:c r="C15" s="79" t="str">
        <x:v>SaaS</x:v>
      </x:c>
      <x:c r="D15" s="79" t="str">
        <x:v>Tracks engineering work, security remediation, defects, project activities, and operational tasks.</x:v>
      </x:c>
      <x:c r="E15" s="79" t="str">
        <x:v>Engineering &amp; R&amp;D</x:v>
      </x:c>
      <x:c r="F15" s="79" t="str">
        <x:v>Director of Engineering &amp; R&amp;D</x:v>
      </x:c>
      <x:c r="G15" s="79" t="str">
        <x:v>Software Engineering</x:v>
      </x:c>
      <x:c r="H15" s="79" t="str">
        <x:v>Atlassian Cloud</x:v>
      </x:c>
      <x:c r="I15" s="79" t="str">
        <x:v>Corporate</x:v>
      </x:c>
      <x:c r="J15" s="79" t="str">
        <x:v>SaaS</x:v>
      </x:c>
      <x:c r="K15" s="79" t="str">
        <x:v>Atlassian</x:v>
      </x:c>
      <x:c r="L15" s="79" t="str">
        <x:v>Jira Cloud</x:v>
      </x:c>
      <x:c r="M15" s="79" t="str">
        <x:v>Confidential</x:v>
      </x:c>
      <x:c r="N15" s="79" t="str">
        <x:v>High</x:v>
      </x:c>
      <x:c r="O15" s="79" t="str">
        <x:v>Yes</x:v>
      </x:c>
      <x:c r="P15" s="79" t="str">
        <x:v>Yes</x:v>
      </x:c>
      <x:c r="Q15" s="79" t="str">
        <x:v>Partial</x:v>
      </x:c>
      <x:c r="R15" s="79" t="str">
        <x:v>Active</x:v>
      </x:c>
      <x:c r="S15" s="80" t="n">
        <x:v>46250</x:v>
      </x:c>
      <x:c r="T15" s="79" t="str">
        <x:v>Linked to Confluence and GitHub; may contain vulnerability and remediation details.</x:v>
      </x:c>
    </x:row>
    <x:row r="16" ht="38" customHeight="1">
      <x:c r="A16" s="81" t="str">
        <x:v>NF-AST-007</x:v>
      </x:c>
      <x:c r="B16" s="82" t="str">
        <x:v>Confluence Knowledge Base</x:v>
      </x:c>
      <x:c r="C16" s="82" t="str">
        <x:v>SaaS</x:v>
      </x:c>
      <x:c r="D16" s="82" t="str">
        <x:v>Stores engineering documentation, procedures, design notes, and internal knowledge.</x:v>
      </x:c>
      <x:c r="E16" s="82" t="str">
        <x:v>Engineering &amp; R&amp;D</x:v>
      </x:c>
      <x:c r="F16" s="82" t="str">
        <x:v>Director of Engineering &amp; R&amp;D</x:v>
      </x:c>
      <x:c r="G16" s="82" t="str">
        <x:v>Software Engineering</x:v>
      </x:c>
      <x:c r="H16" s="82" t="str">
        <x:v>Atlassian Cloud</x:v>
      </x:c>
      <x:c r="I16" s="82" t="str">
        <x:v>Corporate</x:v>
      </x:c>
      <x:c r="J16" s="82" t="str">
        <x:v>SaaS</x:v>
      </x:c>
      <x:c r="K16" s="82" t="str">
        <x:v>Atlassian</x:v>
      </x:c>
      <x:c r="L16" s="82" t="str">
        <x:v>Confluence Cloud</x:v>
      </x:c>
      <x:c r="M16" s="82" t="str">
        <x:v>Confidential</x:v>
      </x:c>
      <x:c r="N16" s="82" t="str">
        <x:v>High</x:v>
      </x:c>
      <x:c r="O16" s="82" t="str">
        <x:v>Yes</x:v>
      </x:c>
      <x:c r="P16" s="82" t="str">
        <x:v>Yes</x:v>
      </x:c>
      <x:c r="Q16" s="82" t="str">
        <x:v>Partial</x:v>
      </x:c>
      <x:c r="R16" s="82" t="str">
        <x:v>Active</x:v>
      </x:c>
      <x:c r="S16" s="83" t="n">
        <x:v>46250</x:v>
      </x:c>
      <x:c r="T16" s="82" t="str">
        <x:v>Access is role-based; some spaces contain sensitive technical architecture.</x:v>
      </x:c>
    </x:row>
    <x:row r="17" ht="38" customHeight="1">
      <x:c r="A17" s="78" t="str">
        <x:v>NF-AST-008</x:v>
      </x:c>
      <x:c r="B17" s="79" t="str">
        <x:v>Salesforce CRM</x:v>
      </x:c>
      <x:c r="C17" s="79" t="str">
        <x:v>Business Application</x:v>
      </x:c>
      <x:c r="D17" s="79" t="str">
        <x:v>Manages prospects, customers, sales activity, account relationships, and commercial records.</x:v>
      </x:c>
      <x:c r="E17" s="79" t="str">
        <x:v>Sales &amp; Customer Success</x:v>
      </x:c>
      <x:c r="F17" s="79" t="str">
        <x:v>VP of Sales &amp; Customer Success</x:v>
      </x:c>
      <x:c r="G17" s="79" t="str">
        <x:v>Sales</x:v>
      </x:c>
      <x:c r="H17" s="79" t="str">
        <x:v>Salesforce Cloud</x:v>
      </x:c>
      <x:c r="I17" s="79" t="str">
        <x:v>Production</x:v>
      </x:c>
      <x:c r="J17" s="79" t="str">
        <x:v>SaaS</x:v>
      </x:c>
      <x:c r="K17" s="79" t="str">
        <x:v>Salesforce</x:v>
      </x:c>
      <x:c r="L17" s="79" t="str">
        <x:v>Sales Cloud</x:v>
      </x:c>
      <x:c r="M17" s="79" t="str">
        <x:v>Confidential</x:v>
      </x:c>
      <x:c r="N17" s="79" t="str">
        <x:v>High</x:v>
      </x:c>
      <x:c r="O17" s="79" t="str">
        <x:v>Yes</x:v>
      </x:c>
      <x:c r="P17" s="79" t="str">
        <x:v>Yes</x:v>
      </x:c>
      <x:c r="Q17" s="79" t="str">
        <x:v>Protected</x:v>
      </x:c>
      <x:c r="R17" s="79" t="str">
        <x:v>Active</x:v>
      </x:c>
      <x:c r="S17" s="80" t="n">
        <x:v>46250</x:v>
      </x:c>
      <x:c r="T17" s="79" t="str">
        <x:v>Integrates with customer support workflows and contains customer contact information.</x:v>
      </x:c>
    </x:row>
    <x:row r="18" ht="38" customHeight="1">
      <x:c r="A18" s="81" t="str">
        <x:v>NF-AST-009</x:v>
      </x:c>
      <x:c r="B18" s="82" t="str">
        <x:v>NovaForge Corporate Website</x:v>
      </x:c>
      <x:c r="C18" s="82" t="str">
        <x:v>Business Application</x:v>
      </x:c>
      <x:c r="D18" s="82" t="str">
        <x:v>Public website presenting company, product, service, and contact information.</x:v>
      </x:c>
      <x:c r="E18" s="82" t="str">
        <x:v>Sales &amp; Customer Success</x:v>
      </x:c>
      <x:c r="F18" s="82" t="str">
        <x:v>VP of Sales &amp; Customer Success</x:v>
      </x:c>
      <x:c r="G18" s="82" t="str">
        <x:v>Systems &amp; Cloud Administration</x:v>
      </x:c>
      <x:c r="H18" s="82" t="str">
        <x:v>Cloud-hosted</x:v>
      </x:c>
      <x:c r="I18" s="82" t="str">
        <x:v>Production</x:v>
      </x:c>
      <x:c r="J18" s="82" t="str">
        <x:v>SaaS</x:v>
      </x:c>
      <x:c r="K18" s="82" t="str">
        <x:v>Managed Web Hosting Provider</x:v>
      </x:c>
      <x:c r="L18" s="82" t="str">
        <x:v>Managed CMS</x:v>
      </x:c>
      <x:c r="M18" s="82" t="str">
        <x:v>Public</x:v>
      </x:c>
      <x:c r="N18" s="82" t="str">
        <x:v>Moderate</x:v>
      </x:c>
      <x:c r="O18" s="82" t="str">
        <x:v>Yes</x:v>
      </x:c>
      <x:c r="P18" s="82" t="str">
        <x:v>No</x:v>
      </x:c>
      <x:c r="Q18" s="82" t="str">
        <x:v>Protected</x:v>
      </x:c>
      <x:c r="R18" s="82" t="str">
        <x:v>Active</x:v>
      </x:c>
      <x:c r="S18" s="83" t="n">
        <x:v>46250</x:v>
      </x:c>
      <x:c r="T18" s="82" t="str">
        <x:v>Publicly accessible; administrative access requires MFA and restricted publishing rights.</x:v>
      </x:c>
    </x:row>
    <x:row r="19" ht="38" customHeight="1">
      <x:c r="A19" s="78" t="str">
        <x:v>NF-AST-010</x:v>
      </x:c>
      <x:c r="B19" s="79" t="str">
        <x:v>Windows Endpoint Fleet</x:v>
      </x:c>
      <x:c r="C19" s="79" t="str">
        <x:v>Endpoint</x:v>
      </x:c>
      <x:c r="D19" s="79" t="str">
        <x:v>Corporate laptops and desktops used by employees across business and support functions.</x:v>
      </x:c>
      <x:c r="E19" s="79" t="str">
        <x:v>Information Technology</x:v>
      </x:c>
      <x:c r="F19" s="79" t="str">
        <x:v>IT Manager</x:v>
      </x:c>
      <x:c r="G19" s="79" t="str">
        <x:v>IT Support</x:v>
      </x:c>
      <x:c r="H19" s="79" t="str">
        <x:v>All locations / remote</x:v>
      </x:c>
      <x:c r="I19" s="79" t="str">
        <x:v>Corporate</x:v>
      </x:c>
      <x:c r="J19" s="79" t="str">
        <x:v>Endpoint</x:v>
      </x:c>
      <x:c r="K19" s="79" t="str">
        <x:v>Dell / Microsoft</x:v>
      </x:c>
      <x:c r="L19" s="79" t="str">
        <x:v>Windows 11 Enterprise</x:v>
      </x:c>
      <x:c r="M19" s="79" t="str">
        <x:v>Confidential</x:v>
      </x:c>
      <x:c r="N19" s="79" t="str">
        <x:v>High</x:v>
      </x:c>
      <x:c r="O19" s="79" t="str">
        <x:v>No</x:v>
      </x:c>
      <x:c r="P19" s="79" t="str">
        <x:v>Yes</x:v>
      </x:c>
      <x:c r="Q19" s="79" t="str">
        <x:v>Partial</x:v>
      </x:c>
      <x:c r="R19" s="79" t="str">
        <x:v>Active</x:v>
      </x:c>
      <x:c r="S19" s="80" t="n">
        <x:v>46250</x:v>
      </x:c>
      <x:c r="T19" s="79" t="str">
        <x:v>Managed through centralized identity, endpoint protection, encryption, and device-management controls.</x:v>
      </x:c>
    </x:row>
    <x:row r="20" ht="38" customHeight="1">
      <x:c r="A20" s="81" t="str">
        <x:v>NF-AST-011</x:v>
      </x:c>
      <x:c r="B20" s="82" t="str">
        <x:v>Linux Server Cluster</x:v>
      </x:c>
      <x:c r="C20" s="82" t="str">
        <x:v>Server</x:v>
      </x:c>
      <x:c r="D20" s="82" t="str">
        <x:v>Hosts internal services, automation jobs, engineering utilities, and supporting applications.</x:v>
      </x:c>
      <x:c r="E20" s="82" t="str">
        <x:v>Information Technology</x:v>
      </x:c>
      <x:c r="F20" s="82" t="str">
        <x:v>IT Manager</x:v>
      </x:c>
      <x:c r="G20" s="82" t="str">
        <x:v>Systems &amp; Cloud Administration</x:v>
      </x:c>
      <x:c r="H20" s="82" t="str">
        <x:v>Everett Headquarters</x:v>
      </x:c>
      <x:c r="I20" s="82" t="str">
        <x:v>Production</x:v>
      </x:c>
      <x:c r="J20" s="82" t="str">
        <x:v>On-Premises</x:v>
      </x:c>
      <x:c r="K20" s="82" t="str">
        <x:v>Dell / Canonical</x:v>
      </x:c>
      <x:c r="L20" s="82" t="str">
        <x:v>Ubuntu Server LTS</x:v>
      </x:c>
      <x:c r="M20" s="82" t="str">
        <x:v>Confidential</x:v>
      </x:c>
      <x:c r="N20" s="82" t="str">
        <x:v>High</x:v>
      </x:c>
      <x:c r="O20" s="82" t="str">
        <x:v>No</x:v>
      </x:c>
      <x:c r="P20" s="82" t="str">
        <x:v>Yes</x:v>
      </x:c>
      <x:c r="Q20" s="82" t="str">
        <x:v>Protected</x:v>
      </x:c>
      <x:c r="R20" s="82" t="str">
        <x:v>Maintenance</x:v>
      </x:c>
      <x:c r="S20" s="83" t="n">
        <x:v>46250</x:v>
      </x:c>
      <x:c r="T20" s="82" t="str">
        <x:v>Requires patching, configuration management, monitoring, and documented recovery procedures.</x:v>
      </x:c>
    </x:row>
    <x:row r="21" ht="38" customHeight="1">
      <x:c r="A21" s="78" t="str">
        <x:v>NF-AST-012</x:v>
      </x:c>
      <x:c r="B21" s="79" t="str">
        <x:v>Perimeter Firewall</x:v>
      </x:c>
      <x:c r="C21" s="79" t="str">
        <x:v>Network Device</x:v>
      </x:c>
      <x:c r="D21" s="79" t="str">
        <x:v>Controls and monitors network traffic between NovaForge networks and external services.</x:v>
      </x:c>
      <x:c r="E21" s="79" t="str">
        <x:v>Information Technology</x:v>
      </x:c>
      <x:c r="F21" s="79" t="str">
        <x:v>Chief Information Officer (CIO)</x:v>
      </x:c>
      <x:c r="G21" s="79" t="str">
        <x:v>Network Administration</x:v>
      </x:c>
      <x:c r="H21" s="79" t="str">
        <x:v>Everett Headquarters</x:v>
      </x:c>
      <x:c r="I21" s="79" t="str">
        <x:v>Production</x:v>
      </x:c>
      <x:c r="J21" s="79" t="str">
        <x:v>On-Premises</x:v>
      </x:c>
      <x:c r="K21" s="79" t="str">
        <x:v>Palo Alto Networks</x:v>
      </x:c>
      <x:c r="L21" s="79" t="str">
        <x:v>PAN-OS</x:v>
      </x:c>
      <x:c r="M21" s="79" t="str">
        <x:v>Restricted</x:v>
      </x:c>
      <x:c r="N21" s="79" t="str">
        <x:v>Critical</x:v>
      </x:c>
      <x:c r="O21" s="79" t="str">
        <x:v>Yes</x:v>
      </x:c>
      <x:c r="P21" s="79" t="str">
        <x:v>Yes</x:v>
      </x:c>
      <x:c r="Q21" s="79" t="str">
        <x:v>Protected</x:v>
      </x:c>
      <x:c r="R21" s="79" t="str">
        <x:v>Active</x:v>
      </x:c>
      <x:c r="S21" s="80" t="n">
        <x:v>46250</x:v>
      </x:c>
      <x:c r="T21" s="79" t="str">
        <x:v>Primary internet boundary control; configuration changes require approval and backup.</x:v>
      </x:c>
    </x:row>
    <x:row r="22" ht="38" customHeight="1">
      <x:c r="A22" s="81" t="str">
        <x:v>NF-AST-013</x:v>
      </x:c>
      <x:c r="B22" s="82" t="str">
        <x:v>Corporate VPN Service</x:v>
      </x:c>
      <x:c r="C22" s="82" t="str">
        <x:v>Network Device</x:v>
      </x:c>
      <x:c r="D22" s="82" t="str">
        <x:v>Provides authenticated remote access to approved internal systems and administrative resources.</x:v>
      </x:c>
      <x:c r="E22" s="82" t="str">
        <x:v>Information Technology</x:v>
      </x:c>
      <x:c r="F22" s="82" t="str">
        <x:v>IT Manager</x:v>
      </x:c>
      <x:c r="G22" s="82" t="str">
        <x:v>Network Administration</x:v>
      </x:c>
      <x:c r="H22" s="82" t="str">
        <x:v>Everett Headquarters</x:v>
      </x:c>
      <x:c r="I22" s="82" t="str">
        <x:v>Production</x:v>
      </x:c>
      <x:c r="J22" s="82" t="str">
        <x:v>Hybrid</x:v>
      </x:c>
      <x:c r="K22" s="82" t="str">
        <x:v>Palo Alto Networks</x:v>
      </x:c>
      <x:c r="L22" s="82" t="str">
        <x:v>GlobalProtect</x:v>
      </x:c>
      <x:c r="M22" s="82" t="str">
        <x:v>Restricted</x:v>
      </x:c>
      <x:c r="N22" s="82" t="str">
        <x:v>High</x:v>
      </x:c>
      <x:c r="O22" s="82" t="str">
        <x:v>Yes</x:v>
      </x:c>
      <x:c r="P22" s="82" t="str">
        <x:v>Yes</x:v>
      </x:c>
      <x:c r="Q22" s="82" t="str">
        <x:v>Protected</x:v>
      </x:c>
      <x:c r="R22" s="82" t="str">
        <x:v>Active</x:v>
      </x:c>
      <x:c r="S22" s="83" t="n">
        <x:v>46250</x:v>
      </x:c>
      <x:c r="T22" s="82" t="str">
        <x:v>Integrated with Entra ID MFA and conditional-access requirements.</x:v>
      </x:c>
    </x:row>
    <x:row r="23" ht="38" customHeight="1">
      <x:c r="A23" s="78" t="str">
        <x:v>NF-AST-014</x:v>
      </x:c>
      <x:c r="B23" s="79" t="str">
        <x:v>Corporate Network Infrastructure</x:v>
      </x:c>
      <x:c r="C23" s="79" t="str">
        <x:v>Network Device</x:v>
      </x:c>
      <x:c r="D23" s="79" t="str">
        <x:v>Core switches, wireless access points, routing, and segmentation supporting corporate connectivity.</x:v>
      </x:c>
      <x:c r="E23" s="79" t="str">
        <x:v>Information Technology</x:v>
      </x:c>
      <x:c r="F23" s="79" t="str">
        <x:v>IT Manager</x:v>
      </x:c>
      <x:c r="G23" s="79" t="str">
        <x:v>Network Administration</x:v>
      </x:c>
      <x:c r="H23" s="79" t="str">
        <x:v>Everett and Austin</x:v>
      </x:c>
      <x:c r="I23" s="79" t="str">
        <x:v>Corporate</x:v>
      </x:c>
      <x:c r="J23" s="79" t="str">
        <x:v>On-Premises</x:v>
      </x:c>
      <x:c r="K23" s="79" t="str">
        <x:v>Cisco</x:v>
      </x:c>
      <x:c r="L23" s="79" t="str">
        <x:v>Cisco IOS / Wireless Platform</x:v>
      </x:c>
      <x:c r="M23" s="79" t="str">
        <x:v>Internal</x:v>
      </x:c>
      <x:c r="N23" s="79" t="str">
        <x:v>High</x:v>
      </x:c>
      <x:c r="O23" s="79" t="str">
        <x:v>No</x:v>
      </x:c>
      <x:c r="P23" s="79" t="str">
        <x:v>Yes</x:v>
      </x:c>
      <x:c r="Q23" s="79" t="str">
        <x:v>Protected</x:v>
      </x:c>
      <x:c r="R23" s="79" t="str">
        <x:v>Maintenance</x:v>
      </x:c>
      <x:c r="S23" s="80" t="n">
        <x:v>46250</x:v>
      </x:c>
      <x:c r="T23" s="79" t="str">
        <x:v>Supports corporate, guest, engineering, and administrative network segments.</x:v>
      </x:c>
    </x:row>
    <x:row r="24" ht="38" customHeight="1">
      <x:c r="A24" s="81" t="str">
        <x:v>NF-AST-015</x:v>
      </x:c>
      <x:c r="B24" s="82" t="str">
        <x:v>Microsoft Defender for Endpoint</x:v>
      </x:c>
      <x:c r="C24" s="82" t="str">
        <x:v>Security Tool</x:v>
      </x:c>
      <x:c r="D24" s="82" t="str">
        <x:v>Endpoint detection, malware protection, vulnerability visibility, and device-security telemetry.</x:v>
      </x:c>
      <x:c r="E24" s="82" t="str">
        <x:v>Information Security</x:v>
      </x:c>
      <x:c r="F24" s="82" t="str">
        <x:v>Security Manager</x:v>
      </x:c>
      <x:c r="G24" s="82" t="str">
        <x:v>Security Analyst</x:v>
      </x:c>
      <x:c r="H24" s="82" t="str">
        <x:v>Microsoft Cloud</x:v>
      </x:c>
      <x:c r="I24" s="82" t="str">
        <x:v>Production</x:v>
      </x:c>
      <x:c r="J24" s="82" t="str">
        <x:v>SaaS / Agent</x:v>
      </x:c>
      <x:c r="K24" s="82" t="str">
        <x:v>Microsoft</x:v>
      </x:c>
      <x:c r="L24" s="82" t="str">
        <x:v>Defender for Endpoint</x:v>
      </x:c>
      <x:c r="M24" s="82" t="str">
        <x:v>Restricted</x:v>
      </x:c>
      <x:c r="N24" s="82" t="str">
        <x:v>High</x:v>
      </x:c>
      <x:c r="O24" s="82" t="str">
        <x:v>Yes</x:v>
      </x:c>
      <x:c r="P24" s="82" t="str">
        <x:v>Yes</x:v>
      </x:c>
      <x:c r="Q24" s="82" t="str">
        <x:v>Not Applicable</x:v>
      </x:c>
      <x:c r="R24" s="82" t="str">
        <x:v>Active</x:v>
      </x:c>
      <x:c r="S24" s="83" t="n">
        <x:v>46250</x:v>
      </x:c>
      <x:c r="T24" s="82" t="str">
        <x:v>Coverage depends on endpoint enrollment and healthy agents across supported device fleets.</x:v>
      </x:c>
    </x:row>
    <x:row r="25" ht="38" customHeight="1">
      <x:c r="A25" s="78" t="str">
        <x:v>NF-AST-016</x:v>
      </x:c>
      <x:c r="B25" s="79" t="str">
        <x:v>Microsoft Sentinel SIEM</x:v>
      </x:c>
      <x:c r="C25" s="79" t="str">
        <x:v>Security Tool</x:v>
      </x:c>
      <x:c r="D25" s="79" t="str">
        <x:v>Centralizes security logs, detections, investigations, and alerting for monitored systems.</x:v>
      </x:c>
      <x:c r="E25" s="79" t="str">
        <x:v>Information Security</x:v>
      </x:c>
      <x:c r="F25" s="79" t="str">
        <x:v>Security Manager</x:v>
      </x:c>
      <x:c r="G25" s="79" t="str">
        <x:v>Security Analyst</x:v>
      </x:c>
      <x:c r="H25" s="79" t="str">
        <x:v>Microsoft Cloud</x:v>
      </x:c>
      <x:c r="I25" s="79" t="str">
        <x:v>Production</x:v>
      </x:c>
      <x:c r="J25" s="79" t="str">
        <x:v>SaaS</x:v>
      </x:c>
      <x:c r="K25" s="79" t="str">
        <x:v>Microsoft</x:v>
      </x:c>
      <x:c r="L25" s="79" t="str">
        <x:v>Microsoft Sentinel</x:v>
      </x:c>
      <x:c r="M25" s="79" t="str">
        <x:v>Restricted</x:v>
      </x:c>
      <x:c r="N25" s="79" t="str">
        <x:v>High</x:v>
      </x:c>
      <x:c r="O25" s="79" t="str">
        <x:v>Yes</x:v>
      </x:c>
      <x:c r="P25" s="79" t="str">
        <x:v>Yes</x:v>
      </x:c>
      <x:c r="Q25" s="79" t="str">
        <x:v>Protected</x:v>
      </x:c>
      <x:c r="R25" s="79" t="str">
        <x:v>Active</x:v>
      </x:c>
      <x:c r="S25" s="80" t="n">
        <x:v>46250</x:v>
      </x:c>
      <x:c r="T25" s="79" t="str">
        <x:v>Receives identity, endpoint, firewall, cloud, and selected application telemetry.</x:v>
      </x:c>
    </x:row>
    <x:row r="26" ht="38" customHeight="1">
      <x:c r="A26" s="81" t="str">
        <x:v>NF-AST-017</x:v>
      </x:c>
      <x:c r="B26" s="82" t="str">
        <x:v>CAD and PLM System</x:v>
      </x:c>
      <x:c r="C26" s="82" t="str">
        <x:v>Engineering System</x:v>
      </x:c>
      <x:c r="D26" s="82" t="str">
        <x:v>Creates and manages mechanical designs, bills of material, assemblies, and product lifecycle records.</x:v>
      </x:c>
      <x:c r="E26" s="82" t="str">
        <x:v>Engineering &amp; R&amp;D</x:v>
      </x:c>
      <x:c r="F26" s="82" t="str">
        <x:v>Director of Engineering &amp; R&amp;D</x:v>
      </x:c>
      <x:c r="G26" s="82" t="str">
        <x:v>Robotics Engineering</x:v>
      </x:c>
      <x:c r="H26" s="82" t="str">
        <x:v>Everett and Austin</x:v>
      </x:c>
      <x:c r="I26" s="82" t="str">
        <x:v>Development/Test</x:v>
      </x:c>
      <x:c r="J26" s="82" t="str">
        <x:v>Hybrid</x:v>
      </x:c>
      <x:c r="K26" s="82" t="str">
        <x:v>Autodesk</x:v>
      </x:c>
      <x:c r="L26" s="82" t="str">
        <x:v>Autodesk Inventor / Vault</x:v>
      </x:c>
      <x:c r="M26" s="82" t="str">
        <x:v>Restricted</x:v>
      </x:c>
      <x:c r="N26" s="82" t="str">
        <x:v>High</x:v>
      </x:c>
      <x:c r="O26" s="82" t="str">
        <x:v>No</x:v>
      </x:c>
      <x:c r="P26" s="82" t="str">
        <x:v>Yes</x:v>
      </x:c>
      <x:c r="Q26" s="82" t="str">
        <x:v>Protected</x:v>
      </x:c>
      <x:c r="R26" s="82" t="str">
        <x:v>Active</x:v>
      </x:c>
      <x:c r="S26" s="83" t="n">
        <x:v>46250</x:v>
      </x:c>
      <x:c r="T26" s="82" t="str">
        <x:v>Contains proprietary product designs and depends on engineering workstations and protected storage.</x:v>
      </x:c>
    </x:row>
    <x:row r="27" ht="38" customHeight="1">
      <x:c r="A27" s="78" t="str">
        <x:v>NF-AST-018</x:v>
      </x:c>
      <x:c r="B27" s="79" t="str">
        <x:v>Engineering Workstation Fleet</x:v>
      </x:c>
      <x:c r="C27" s="79" t="str">
        <x:v>Endpoint</x:v>
      </x:c>
      <x:c r="D27" s="79" t="str">
        <x:v>High-performance workstations used for CAD, simulation, software development, and robotics engineering.</x:v>
      </x:c>
      <x:c r="E27" s="79" t="str">
        <x:v>Engineering &amp; R&amp;D</x:v>
      </x:c>
      <x:c r="F27" s="79" t="str">
        <x:v>Director of Engineering &amp; R&amp;D</x:v>
      </x:c>
      <x:c r="G27" s="79" t="str">
        <x:v>Robotics Engineering</x:v>
      </x:c>
      <x:c r="H27" s="79" t="str">
        <x:v>Everett and Austin</x:v>
      </x:c>
      <x:c r="I27" s="79" t="str">
        <x:v>Development/Test</x:v>
      </x:c>
      <x:c r="J27" s="79" t="str">
        <x:v>Endpoint</x:v>
      </x:c>
      <x:c r="K27" s="79" t="str">
        <x:v>Dell / NVIDIA / Microsoft</x:v>
      </x:c>
      <x:c r="L27" s="79" t="str">
        <x:v>Windows 11 Engineering Build</x:v>
      </x:c>
      <x:c r="M27" s="79" t="str">
        <x:v>Restricted</x:v>
      </x:c>
      <x:c r="N27" s="79" t="str">
        <x:v>High</x:v>
      </x:c>
      <x:c r="O27" s="79" t="str">
        <x:v>No</x:v>
      </x:c>
      <x:c r="P27" s="79" t="str">
        <x:v>Yes</x:v>
      </x:c>
      <x:c r="Q27" s="79" t="str">
        <x:v>Partial</x:v>
      </x:c>
      <x:c r="R27" s="79" t="str">
        <x:v>Active</x:v>
      </x:c>
      <x:c r="S27" s="80" t="n">
        <x:v>46250</x:v>
      </x:c>
      <x:c r="T27" s="79" t="str">
        <x:v>Requires elevated software controls while maintaining endpoint hardening and encryption.</x:v>
      </x:c>
    </x:row>
    <x:row r="28" ht="38" customHeight="1">
      <x:c r="A28" s="81" t="str">
        <x:v>NF-AST-019</x:v>
      </x:c>
      <x:c r="B28" s="82" t="str">
        <x:v>Robotics Simulation Environment</x:v>
      </x:c>
      <x:c r="C28" s="82" t="str">
        <x:v>Engineering System</x:v>
      </x:c>
      <x:c r="D28" s="82" t="str">
        <x:v>Simulates robotic motion, control logic, safety scenarios, and production workflows before deployment.</x:v>
      </x:c>
      <x:c r="E28" s="82" t="str">
        <x:v>Engineering &amp; R&amp;D</x:v>
      </x:c>
      <x:c r="F28" s="82" t="str">
        <x:v>Director of Engineering &amp; R&amp;D</x:v>
      </x:c>
      <x:c r="G28" s="82" t="str">
        <x:v>Robotics Engineering</x:v>
      </x:c>
      <x:c r="H28" s="82" t="str">
        <x:v>Austin Office</x:v>
      </x:c>
      <x:c r="I28" s="82" t="str">
        <x:v>Development/Test</x:v>
      </x:c>
      <x:c r="J28" s="82" t="str">
        <x:v>On-Premises</x:v>
      </x:c>
      <x:c r="K28" s="82" t="str">
        <x:v>NVIDIA / Open Robotics</x:v>
      </x:c>
      <x:c r="L28" s="82" t="str">
        <x:v>Isaac Sim / ROS 2</x:v>
      </x:c>
      <x:c r="M28" s="82" t="str">
        <x:v>Confidential</x:v>
      </x:c>
      <x:c r="N28" s="82" t="str">
        <x:v>High</x:v>
      </x:c>
      <x:c r="O28" s="82" t="str">
        <x:v>No</x:v>
      </x:c>
      <x:c r="P28" s="82" t="str">
        <x:v>Yes</x:v>
      </x:c>
      <x:c r="Q28" s="82" t="str">
        <x:v>Protected</x:v>
      </x:c>
      <x:c r="R28" s="82" t="str">
        <x:v>Active</x:v>
      </x:c>
      <x:c r="S28" s="83" t="n">
        <x:v>46250</x:v>
      </x:c>
      <x:c r="T28" s="82" t="str">
        <x:v>Uses design models and test data; dependencies include CAD assets and engineering compute resources.</x:v>
      </x:c>
    </x:row>
    <x:row r="29" ht="38" customHeight="1">
      <x:c r="A29" s="78" t="str">
        <x:v>NF-AST-020</x:v>
      </x:c>
      <x:c r="B29" s="79" t="str">
        <x:v>Firmware Build System</x:v>
      </x:c>
      <x:c r="C29" s="79" t="str">
        <x:v>Engineering System</x:v>
      </x:c>
      <x:c r="D29" s="79" t="str">
        <x:v>Builds, signs, packages, and tracks embedded firmware released to NovaForge robotic products.</x:v>
      </x:c>
      <x:c r="E29" s="79" t="str">
        <x:v>Engineering &amp; R&amp;D</x:v>
      </x:c>
      <x:c r="F29" s="79" t="str">
        <x:v>Director of Engineering &amp; R&amp;D</x:v>
      </x:c>
      <x:c r="G29" s="79" t="str">
        <x:v>Firmware / Embedded Systems</x:v>
      </x:c>
      <x:c r="H29" s="79" t="str">
        <x:v>Everett Headquarters</x:v>
      </x:c>
      <x:c r="I29" s="79" t="str">
        <x:v>Development/Test</x:v>
      </x:c>
      <x:c r="J29" s="79" t="str">
        <x:v>On-Premises</x:v>
      </x:c>
      <x:c r="K29" s="79" t="str">
        <x:v>Jenkins Project / Canonical</x:v>
      </x:c>
      <x:c r="L29" s="79" t="str">
        <x:v>Jenkins on Ubuntu Server</x:v>
      </x:c>
      <x:c r="M29" s="79" t="str">
        <x:v>Restricted</x:v>
      </x:c>
      <x:c r="N29" s="79" t="str">
        <x:v>High</x:v>
      </x:c>
      <x:c r="O29" s="79" t="str">
        <x:v>No</x:v>
      </x:c>
      <x:c r="P29" s="79" t="str">
        <x:v>Yes</x:v>
      </x:c>
      <x:c r="Q29" s="79" t="str">
        <x:v>Protected</x:v>
      </x:c>
      <x:c r="R29" s="79" t="str">
        <x:v>Active</x:v>
      </x:c>
      <x:c r="S29" s="80" t="n">
        <x:v>46250</x:v>
      </x:c>
      <x:c r="T29" s="79" t="str">
        <x:v>Protect signing keys, build credentials, dependencies, and release artifacts from unauthorized modification.</x:v>
      </x:c>
    </x:row>
    <x:row r="30" ht="38" customHeight="1">
      <x:c r="A30" s="81" t="str">
        <x:v>NF-AST-021</x:v>
      </x:c>
      <x:c r="B30" s="82" t="str">
        <x:v>ForgeVision Production Platform</x:v>
      </x:c>
      <x:c r="C30" s="82" t="str">
        <x:v>Business Application</x:v>
      </x:c>
      <x:c r="D30" s="82" t="str">
        <x:v>Processes robotic operational data and provides customer-facing monitoring and analytics.</x:v>
      </x:c>
      <x:c r="E30" s="82" t="str">
        <x:v>Engineering &amp; R&amp;D</x:v>
      </x:c>
      <x:c r="F30" s="82" t="str">
        <x:v>Chief Technology Officer (CTO)</x:v>
      </x:c>
      <x:c r="G30" s="82" t="str">
        <x:v>Software Engineering</x:v>
      </x:c>
      <x:c r="H30" s="82" t="str">
        <x:v>AWS us-west-2</x:v>
      </x:c>
      <x:c r="I30" s="82" t="str">
        <x:v>Production</x:v>
      </x:c>
      <x:c r="J30" s="82" t="str">
        <x:v>Cloud IaaS/PaaS</x:v>
      </x:c>
      <x:c r="K30" s="82" t="str">
        <x:v>NovaForge / AWS</x:v>
      </x:c>
      <x:c r="L30" s="82" t="str">
        <x:v>Linux / Kubernetes</x:v>
      </x:c>
      <x:c r="M30" s="82" t="str">
        <x:v>Restricted</x:v>
      </x:c>
      <x:c r="N30" s="82" t="str">
        <x:v>Critical</x:v>
      </x:c>
      <x:c r="O30" s="82" t="str">
        <x:v>Yes</x:v>
      </x:c>
      <x:c r="P30" s="82" t="str">
        <x:v>Yes</x:v>
      </x:c>
      <x:c r="Q30" s="82" t="str">
        <x:v>Protected</x:v>
      </x:c>
      <x:c r="R30" s="82" t="str">
        <x:v>Active</x:v>
      </x:c>
      <x:c r="S30" s="83" t="n">
        <x:v>46250</x:v>
      </x:c>
      <x:c r="T30" s="82" t="str">
        <x:v>Customer-facing production service dependent on AWS, identity, application code, and telemetry pipelines.</x:v>
      </x:c>
    </x:row>
    <x:row r="31" ht="38" customHeight="1">
      <x:c r="A31" s="78" t="str">
        <x:v>NF-AST-022</x:v>
      </x:c>
      <x:c r="B31" s="79" t="str">
        <x:v>ForgeArm Robotic Arm Fleet</x:v>
      </x:c>
      <x:c r="C31" s="79" t="str">
        <x:v>Manufacturing/OT</x:v>
      </x:c>
      <x:c r="D31" s="79" t="str">
        <x:v>NovaForge robotic systems used for assembly, handling, machine tending, and product testing.</x:v>
      </x:c>
      <x:c r="E31" s="79" t="str">
        <x:v>Manufacturing Operations</x:v>
      </x:c>
      <x:c r="F31" s="79" t="str">
        <x:v>Manufacturing Manager</x:v>
      </x:c>
      <x:c r="G31" s="79" t="str">
        <x:v>Production</x:v>
      </x:c>
      <x:c r="H31" s="79" t="str">
        <x:v>Everett Manufacturing</x:v>
      </x:c>
      <x:c r="I31" s="79" t="str">
        <x:v>Manufacturing/OT</x:v>
      </x:c>
      <x:c r="J31" s="79" t="str">
        <x:v>On-Premises</x:v>
      </x:c>
      <x:c r="K31" s="79" t="str">
        <x:v>NovaForge</x:v>
      </x:c>
      <x:c r="L31" s="79" t="str">
        <x:v>ForgeOS Embedded Platform</x:v>
      </x:c>
      <x:c r="M31" s="79" t="str">
        <x:v>Internal</x:v>
      </x:c>
      <x:c r="N31" s="79" t="str">
        <x:v>Critical</x:v>
      </x:c>
      <x:c r="O31" s="79" t="str">
        <x:v>No</x:v>
      </x:c>
      <x:c r="P31" s="79" t="str">
        <x:v>Yes</x:v>
      </x:c>
      <x:c r="Q31" s="79" t="str">
        <x:v>Protected</x:v>
      </x:c>
      <x:c r="R31" s="79" t="str">
        <x:v>Maintenance</x:v>
      </x:c>
      <x:c r="S31" s="80" t="n">
        <x:v>46250</x:v>
      </x:c>
      <x:c r="T31" s="79" t="str">
        <x:v>Operational safety and availability are essential; configuration changes require controlled testing.</x:v>
      </x:c>
    </x:row>
    <x:row r="32" ht="38" customHeight="1">
      <x:c r="A32" s="81" t="str">
        <x:v>NF-AST-023</x:v>
      </x:c>
      <x:c r="B32" s="82" t="str">
        <x:v>PLC and Cell Controller Fleet</x:v>
      </x:c>
      <x:c r="C32" s="82" t="str">
        <x:v>Manufacturing/OT</x:v>
      </x:c>
      <x:c r="D32" s="82" t="str">
        <x:v>Controls manufacturing cells, automation sequences, sensors, and connected industrial equipment.</x:v>
      </x:c>
      <x:c r="E32" s="82" t="str">
        <x:v>Manufacturing Operations</x:v>
      </x:c>
      <x:c r="F32" s="82" t="str">
        <x:v>Manufacturing Manager</x:v>
      </x:c>
      <x:c r="G32" s="82" t="str">
        <x:v>Production</x:v>
      </x:c>
      <x:c r="H32" s="82" t="str">
        <x:v>Everett Manufacturing</x:v>
      </x:c>
      <x:c r="I32" s="82" t="str">
        <x:v>Manufacturing/OT</x:v>
      </x:c>
      <x:c r="J32" s="82" t="str">
        <x:v>On-Premises</x:v>
      </x:c>
      <x:c r="K32" s="82" t="str">
        <x:v>Siemens</x:v>
      </x:c>
      <x:c r="L32" s="82" t="str">
        <x:v>SIMATIC S7 / TIA Portal</x:v>
      </x:c>
      <x:c r="M32" s="82" t="str">
        <x:v>Restricted</x:v>
      </x:c>
      <x:c r="N32" s="82" t="str">
        <x:v>Critical</x:v>
      </x:c>
      <x:c r="O32" s="82" t="str">
        <x:v>No</x:v>
      </x:c>
      <x:c r="P32" s="82" t="str">
        <x:v>Yes</x:v>
      </x:c>
      <x:c r="Q32" s="82" t="str">
        <x:v>Protected</x:v>
      </x:c>
      <x:c r="R32" s="82" t="str">
        <x:v>Maintenance</x:v>
      </x:c>
      <x:c r="S32" s="83" t="n">
        <x:v>46250</x:v>
      </x:c>
      <x:c r="T32" s="82" t="str">
        <x:v>Industrial controllers require network segmentation, configuration backups, and controlled engineering access.</x:v>
      </x:c>
    </x:row>
    <x:row r="33" ht="38" customHeight="1">
      <x:c r="A33" s="78" t="str">
        <x:v>NF-AST-024</x:v>
      </x:c>
      <x:c r="B33" s="79" t="str">
        <x:v>OT Engineering Workstations</x:v>
      </x:c>
      <x:c r="C33" s="79" t="str">
        <x:v>Endpoint</x:v>
      </x:c>
      <x:c r="D33" s="79" t="str">
        <x:v>Specialized workstations used to program, configure, troubleshoot, and maintain industrial systems.</x:v>
      </x:c>
      <x:c r="E33" s="79" t="str">
        <x:v>Manufacturing Operations</x:v>
      </x:c>
      <x:c r="F33" s="79" t="str">
        <x:v>Manufacturing Manager</x:v>
      </x:c>
      <x:c r="G33" s="79" t="str">
        <x:v>Robotics Testing</x:v>
      </x:c>
      <x:c r="H33" s="79" t="str">
        <x:v>Everett Manufacturing</x:v>
      </x:c>
      <x:c r="I33" s="79" t="str">
        <x:v>Manufacturing/OT</x:v>
      </x:c>
      <x:c r="J33" s="79" t="str">
        <x:v>Endpoint</x:v>
      </x:c>
      <x:c r="K33" s="79" t="str">
        <x:v>Dell / Microsoft</x:v>
      </x:c>
      <x:c r="L33" s="79" t="str">
        <x:v>Windows 11 Engineering Build</x:v>
      </x:c>
      <x:c r="M33" s="79" t="str">
        <x:v>Restricted</x:v>
      </x:c>
      <x:c r="N33" s="79" t="str">
        <x:v>High</x:v>
      </x:c>
      <x:c r="O33" s="79" t="str">
        <x:v>No</x:v>
      </x:c>
      <x:c r="P33" s="79" t="str">
        <x:v>Yes</x:v>
      </x:c>
      <x:c r="Q33" s="79" t="str">
        <x:v>Partial</x:v>
      </x:c>
      <x:c r="R33" s="79" t="str">
        <x:v>Active</x:v>
      </x:c>
      <x:c r="S33" s="80" t="n">
        <x:v>46250</x:v>
      </x:c>
      <x:c r="T33" s="79" t="str">
        <x:v>Privileged access to PLCs and robot controllers; removable-media use must be controlled.</x:v>
      </x:c>
    </x:row>
    <x:row r="34" ht="38" customHeight="1">
      <x:c r="A34" s="81" t="str">
        <x:v>NF-AST-025</x:v>
      </x:c>
      <x:c r="B34" s="82" t="str">
        <x:v>Manufacturing OT Network</x:v>
      </x:c>
      <x:c r="C34" s="82" t="str">
        <x:v>Network Device</x:v>
      </x:c>
      <x:c r="D34" s="82" t="str">
        <x:v>Industrial network segments connecting robots, PLCs, test systems, engineering stations, and manufacturing services.</x:v>
      </x:c>
      <x:c r="E34" s="82" t="str">
        <x:v>Manufacturing Operations</x:v>
      </x:c>
      <x:c r="F34" s="82" t="str">
        <x:v>Manufacturing Manager</x:v>
      </x:c>
      <x:c r="G34" s="82" t="str">
        <x:v>Network Administration</x:v>
      </x:c>
      <x:c r="H34" s="82" t="str">
        <x:v>Everett Manufacturing</x:v>
      </x:c>
      <x:c r="I34" s="82" t="str">
        <x:v>Manufacturing/OT</x:v>
      </x:c>
      <x:c r="J34" s="82" t="str">
        <x:v>On-Premises</x:v>
      </x:c>
      <x:c r="K34" s="82" t="str">
        <x:v>Cisco Industrial</x:v>
      </x:c>
      <x:c r="L34" s="82" t="str">
        <x:v>Industrial Ethernet</x:v>
      </x:c>
      <x:c r="M34" s="82" t="str">
        <x:v>Restricted</x:v>
      </x:c>
      <x:c r="N34" s="82" t="str">
        <x:v>Critical</x:v>
      </x:c>
      <x:c r="O34" s="82" t="str">
        <x:v>No</x:v>
      </x:c>
      <x:c r="P34" s="82" t="str">
        <x:v>Yes</x:v>
      </x:c>
      <x:c r="Q34" s="82" t="str">
        <x:v>Protected</x:v>
      </x:c>
      <x:c r="R34" s="82" t="str">
        <x:v>Active</x:v>
      </x:c>
      <x:c r="S34" s="83" t="n">
        <x:v>46250</x:v>
      </x:c>
      <x:c r="T34" s="82" t="str">
        <x:v>Must remain segmented from corporate and guest networks with monitored, approved interconnections.</x:v>
      </x:c>
    </x:row>
    <x:row r="35" ht="38" customHeight="1">
      <x:c r="A35" s="78" t="str">
        <x:v>NF-AST-026</x:v>
      </x:c>
      <x:c r="B35" s="79" t="str">
        <x:v>Robotics Test Cell Systems</x:v>
      </x:c>
      <x:c r="C35" s="79" t="str">
        <x:v>Manufacturing/OT</x:v>
      </x:c>
      <x:c r="D35" s="79" t="str">
        <x:v>Validates robotic hardware, software, firmware, reliability, and safety before release or shipment.</x:v>
      </x:c>
      <x:c r="E35" s="79" t="str">
        <x:v>Manufacturing Operations</x:v>
      </x:c>
      <x:c r="F35" s="79" t="str">
        <x:v>Manufacturing Manager</x:v>
      </x:c>
      <x:c r="G35" s="79" t="str">
        <x:v>Robotics Testing</x:v>
      </x:c>
      <x:c r="H35" s="79" t="str">
        <x:v>Everett Manufacturing</x:v>
      </x:c>
      <x:c r="I35" s="79" t="str">
        <x:v>Manufacturing/OT</x:v>
      </x:c>
      <x:c r="J35" s="79" t="str">
        <x:v>On-Premises</x:v>
      </x:c>
      <x:c r="K35" s="79" t="str">
        <x:v>NovaForge / National Instruments</x:v>
      </x:c>
      <x:c r="L35" s="79" t="str">
        <x:v>Custom Test Platform</x:v>
      </x:c>
      <x:c r="M35" s="79" t="str">
        <x:v>Confidential</x:v>
      </x:c>
      <x:c r="N35" s="79" t="str">
        <x:v>High</x:v>
      </x:c>
      <x:c r="O35" s="79" t="str">
        <x:v>No</x:v>
      </x:c>
      <x:c r="P35" s="79" t="str">
        <x:v>Yes</x:v>
      </x:c>
      <x:c r="Q35" s="79" t="str">
        <x:v>Partial</x:v>
      </x:c>
      <x:c r="R35" s="79" t="str">
        <x:v>Active</x:v>
      </x:c>
      <x:c r="S35" s="80" t="n">
        <x:v>46250</x:v>
      </x:c>
      <x:c r="T35" s="79" t="str">
        <x:v>Generates product-quality and safety evidence and depends on controlled test configurations.</x:v>
      </x:c>
    </x:row>
    <x:row r="36" ht="38" customHeight="1">
      <x:c r="A36" s="81" t="str">
        <x:v>NF-AST-027</x:v>
      </x:c>
      <x:c r="B36" s="82" t="str">
        <x:v>Manufacturing Execution System</x:v>
      </x:c>
      <x:c r="C36" s="82" t="str">
        <x:v>Business Application</x:v>
      </x:c>
      <x:c r="D36" s="82" t="str">
        <x:v>Tracks work orders, production status, manufacturing steps, and shop-floor execution.</x:v>
      </x:c>
      <x:c r="E36" s="82" t="str">
        <x:v>Manufacturing Operations</x:v>
      </x:c>
      <x:c r="F36" s="82" t="str">
        <x:v>Manufacturing Manager</x:v>
      </x:c>
      <x:c r="G36" s="82" t="str">
        <x:v>Production</x:v>
      </x:c>
      <x:c r="H36" s="82" t="str">
        <x:v>Everett Manufacturing</x:v>
      </x:c>
      <x:c r="I36" s="82" t="str">
        <x:v>Production</x:v>
      </x:c>
      <x:c r="J36" s="82" t="str">
        <x:v>SaaS</x:v>
      </x:c>
      <x:c r="K36" s="82" t="str">
        <x:v>Plex Systems</x:v>
      </x:c>
      <x:c r="L36" s="82" t="str">
        <x:v>Plex Smart Manufacturing Platform</x:v>
      </x:c>
      <x:c r="M36" s="82" t="str">
        <x:v>Confidential</x:v>
      </x:c>
      <x:c r="N36" s="82" t="str">
        <x:v>Critical</x:v>
      </x:c>
      <x:c r="O36" s="82" t="str">
        <x:v>Yes</x:v>
      </x:c>
      <x:c r="P36" s="82" t="str">
        <x:v>Yes</x:v>
      </x:c>
      <x:c r="Q36" s="82" t="str">
        <x:v>Protected</x:v>
      </x:c>
      <x:c r="R36" s="82" t="str">
        <x:v>Active</x:v>
      </x:c>
      <x:c r="S36" s="83" t="n">
        <x:v>46250</x:v>
      </x:c>
      <x:c r="T36" s="82" t="str">
        <x:v>Production operations depend on availability and accurate integration with ERP and warehouse processes.</x:v>
      </x:c>
    </x:row>
    <x:row r="37" ht="38" customHeight="1">
      <x:c r="A37" s="78" t="str">
        <x:v>NF-AST-028</x:v>
      </x:c>
      <x:c r="B37" s="79" t="str">
        <x:v>Warehouse Management System</x:v>
      </x:c>
      <x:c r="C37" s="79" t="str">
        <x:v>Business Application</x:v>
      </x:c>
      <x:c r="D37" s="79" t="str">
        <x:v>Manages inventory locations, receiving, picking, shipping, and warehouse movements.</x:v>
      </x:c>
      <x:c r="E37" s="79" t="str">
        <x:v>Supply Chain &amp; Procurement</x:v>
      </x:c>
      <x:c r="F37" s="79" t="str">
        <x:v>Supply Chain &amp; Procurement Manager</x:v>
      </x:c>
      <x:c r="G37" s="79" t="str">
        <x:v>Warehouse</x:v>
      </x:c>
      <x:c r="H37" s="79" t="str">
        <x:v>Everett Manufacturing</x:v>
      </x:c>
      <x:c r="I37" s="79" t="str">
        <x:v>Production</x:v>
      </x:c>
      <x:c r="J37" s="79" t="str">
        <x:v>SaaS</x:v>
      </x:c>
      <x:c r="K37" s="79" t="str">
        <x:v>Oracle</x:v>
      </x:c>
      <x:c r="L37" s="79" t="str">
        <x:v>NetSuite WMS</x:v>
      </x:c>
      <x:c r="M37" s="79" t="str">
        <x:v>Confidential</x:v>
      </x:c>
      <x:c r="N37" s="79" t="str">
        <x:v>High</x:v>
      </x:c>
      <x:c r="O37" s="79" t="str">
        <x:v>Yes</x:v>
      </x:c>
      <x:c r="P37" s="79" t="str">
        <x:v>Yes</x:v>
      </x:c>
      <x:c r="Q37" s="79" t="str">
        <x:v>Protected</x:v>
      </x:c>
      <x:c r="R37" s="79" t="str">
        <x:v>Active</x:v>
      </x:c>
      <x:c r="S37" s="80" t="n">
        <x:v>46250</x:v>
      </x:c>
      <x:c r="T37" s="79" t="str">
        <x:v>Integrated with the ERP and manufacturing operations; supports supplier and inventory records.</x:v>
      </x:c>
    </x:row>
    <x:row r="38" ht="38" customHeight="1">
      <x:c r="A38" s="81" t="str">
        <x:v>NF-AST-029</x:v>
      </x:c>
      <x:c r="B38" s="82" t="str">
        <x:v>HRIS and Payroll Platform</x:v>
      </x:c>
      <x:c r="C38" s="82" t="str">
        <x:v>Business Application</x:v>
      </x:c>
      <x:c r="D38" s="82" t="str">
        <x:v>Maintains employee records, onboarding, benefits, leave, performance, and payroll information.</x:v>
      </x:c>
      <x:c r="E38" s="82" t="str">
        <x:v>Human Resources</x:v>
      </x:c>
      <x:c r="F38" s="82" t="str">
        <x:v>Director of Human Resources</x:v>
      </x:c>
      <x:c r="G38" s="82" t="str">
        <x:v>Human Resources</x:v>
      </x:c>
      <x:c r="H38" s="82" t="str">
        <x:v>Cloud-hosted</x:v>
      </x:c>
      <x:c r="I38" s="82" t="str">
        <x:v>Corporate</x:v>
      </x:c>
      <x:c r="J38" s="82" t="str">
        <x:v>SaaS</x:v>
      </x:c>
      <x:c r="K38" s="82" t="str">
        <x:v>BambooHR / ADP</x:v>
      </x:c>
      <x:c r="L38" s="82" t="str">
        <x:v>HRIS and Payroll Services</x:v>
      </x:c>
      <x:c r="M38" s="82" t="str">
        <x:v>Restricted</x:v>
      </x:c>
      <x:c r="N38" s="82" t="str">
        <x:v>High</x:v>
      </x:c>
      <x:c r="O38" s="82" t="str">
        <x:v>Yes</x:v>
      </x:c>
      <x:c r="P38" s="82" t="str">
        <x:v>Yes</x:v>
      </x:c>
      <x:c r="Q38" s="82" t="str">
        <x:v>Protected</x:v>
      </x:c>
      <x:c r="R38" s="82" t="str">
        <x:v>Active</x:v>
      </x:c>
      <x:c r="S38" s="83" t="n">
        <x:v>46250</x:v>
      </x:c>
      <x:c r="T38" s="82" t="str">
        <x:v>Contains regulated employee and payroll data; access limited to authorized HR and finance personnel.</x:v>
      </x:c>
    </x:row>
    <x:row r="39" ht="38" customHeight="1">
      <x:c r="A39" s="78" t="str">
        <x:v>NF-AST-030</x:v>
      </x:c>
      <x:c r="B39" s="79" t="str">
        <x:v>ERP and Financial System</x:v>
      </x:c>
      <x:c r="C39" s="79" t="str">
        <x:v>Business Application</x:v>
      </x:c>
      <x:c r="D39" s="79" t="str">
        <x:v>Supports accounting, purchasing, invoicing, financial reporting, and enterprise resource planning.</x:v>
      </x:c>
      <x:c r="E39" s="79" t="str">
        <x:v>Finance &amp; Accounting</x:v>
      </x:c>
      <x:c r="F39" s="79" t="str">
        <x:v>Chief Financial Officer (CFO)</x:v>
      </x:c>
      <x:c r="G39" s="79" t="str">
        <x:v>Finance &amp; Accounting</x:v>
      </x:c>
      <x:c r="H39" s="79" t="str">
        <x:v>Oracle Cloud</x:v>
      </x:c>
      <x:c r="I39" s="79" t="str">
        <x:v>Production</x:v>
      </x:c>
      <x:c r="J39" s="79" t="str">
        <x:v>SaaS</x:v>
      </x:c>
      <x:c r="K39" s="79" t="str">
        <x:v>Oracle</x:v>
      </x:c>
      <x:c r="L39" s="79" t="str">
        <x:v>NetSuite ERP</x:v>
      </x:c>
      <x:c r="M39" s="79" t="str">
        <x:v>Restricted</x:v>
      </x:c>
      <x:c r="N39" s="79" t="str">
        <x:v>High</x:v>
      </x:c>
      <x:c r="O39" s="79" t="str">
        <x:v>Yes</x:v>
      </x:c>
      <x:c r="P39" s="79" t="str">
        <x:v>Yes</x:v>
      </x:c>
      <x:c r="Q39" s="79" t="str">
        <x:v>Protected</x:v>
      </x:c>
      <x:c r="R39" s="79" t="str">
        <x:v>Active</x:v>
      </x:c>
      <x:c r="S39" s="80" t="n">
        <x:v>46250</x:v>
      </x:c>
      <x:c r="T39" s="79" t="str">
        <x:v>Integrates with warehouse, procurement, sales, and manufacturing systems.</x:v>
      </x:c>
    </x:row>
    <x:row r="40" ht="38" customHeight="1">
      <x:c r="A40" s="81" t="str">
        <x:v>NF-AST-031</x:v>
      </x:c>
      <x:c r="B40" s="82" t="str">
        <x:v>Customer Support Portal</x:v>
      </x:c>
      <x:c r="C40" s="82" t="str">
        <x:v>Business Application</x:v>
      </x:c>
      <x:c r="D40" s="82" t="str">
        <x:v>Tracks customer cases, technical support interactions, service requests, and resolutions.</x:v>
      </x:c>
      <x:c r="E40" s="82" t="str">
        <x:v>Sales &amp; Customer Success</x:v>
      </x:c>
      <x:c r="F40" s="82" t="str">
        <x:v>VP of Sales &amp; Customer Success</x:v>
      </x:c>
      <x:c r="G40" s="82" t="str">
        <x:v>Customer Success</x:v>
      </x:c>
      <x:c r="H40" s="82" t="str">
        <x:v>Salesforce Cloud</x:v>
      </x:c>
      <x:c r="I40" s="82" t="str">
        <x:v>Production</x:v>
      </x:c>
      <x:c r="J40" s="82" t="str">
        <x:v>SaaS</x:v>
      </x:c>
      <x:c r="K40" s="82" t="str">
        <x:v>Salesforce</x:v>
      </x:c>
      <x:c r="L40" s="82" t="str">
        <x:v>Service Cloud</x:v>
      </x:c>
      <x:c r="M40" s="82" t="str">
        <x:v>Confidential</x:v>
      </x:c>
      <x:c r="N40" s="82" t="str">
        <x:v>High</x:v>
      </x:c>
      <x:c r="O40" s="82" t="str">
        <x:v>Yes</x:v>
      </x:c>
      <x:c r="P40" s="82" t="str">
        <x:v>Yes</x:v>
      </x:c>
      <x:c r="Q40" s="82" t="str">
        <x:v>Protected</x:v>
      </x:c>
      <x:c r="R40" s="82" t="str">
        <x:v>Active</x:v>
      </x:c>
      <x:c r="S40" s="83" t="n">
        <x:v>46250</x:v>
      </x:c>
      <x:c r="T40" s="82" t="str">
        <x:v>May contain customer contact details, product configurations, logs, and troubleshooting data.</x:v>
      </x:c>
    </x:row>
    <x:row r="41" ht="38" customHeight="1">
      <x:c r="A41" s="78" t="str">
        <x:v>NF-AST-032</x:v>
      </x:c>
      <x:c r="B41" s="79" t="str">
        <x:v>NovaCare Remote Diagnostics Platform</x:v>
      </x:c>
      <x:c r="C41" s="79" t="str">
        <x:v>Business Application</x:v>
      </x:c>
      <x:c r="D41" s="79" t="str">
        <x:v>Provides authorized remote diagnostics, maintenance support, software updates, and service visibility.</x:v>
      </x:c>
      <x:c r="E41" s="79" t="str">
        <x:v>Field Services</x:v>
      </x:c>
      <x:c r="F41" s="79" t="str">
        <x:v>Director of Field Services</x:v>
      </x:c>
      <x:c r="G41" s="79" t="str">
        <x:v>Software Engineering</x:v>
      </x:c>
      <x:c r="H41" s="79" t="str">
        <x:v>AWS us-west-2</x:v>
      </x:c>
      <x:c r="I41" s="79" t="str">
        <x:v>Production</x:v>
      </x:c>
      <x:c r="J41" s="79" t="str">
        <x:v>Cloud IaaS/PaaS</x:v>
      </x:c>
      <x:c r="K41" s="79" t="str">
        <x:v>NovaForge / AWS</x:v>
      </x:c>
      <x:c r="L41" s="79" t="str">
        <x:v>Custom Linux Platform</x:v>
      </x:c>
      <x:c r="M41" s="79" t="str">
        <x:v>Confidential</x:v>
      </x:c>
      <x:c r="N41" s="79" t="str">
        <x:v>High</x:v>
      </x:c>
      <x:c r="O41" s="79" t="str">
        <x:v>Yes</x:v>
      </x:c>
      <x:c r="P41" s="79" t="str">
        <x:v>Yes</x:v>
      </x:c>
      <x:c r="Q41" s="79" t="str">
        <x:v>Protected</x:v>
      </x:c>
      <x:c r="R41" s="79" t="str">
        <x:v>Active</x:v>
      </x:c>
      <x:c r="S41" s="80" t="n">
        <x:v>46250</x:v>
      </x:c>
      <x:c r="T41" s="79" t="str">
        <x:v>Remote access to customer-deployed equipment requires strong authentication, logging, and customer authorization.</x:v>
      </x:c>
    </x:row>
    <x:row r="42" ht="38" customHeight="1">
      <x:c r="A42" s="81" t="str">
        <x:v>NF-AST-033</x:v>
      </x:c>
      <x:c r="B42" s="82" t="str">
        <x:v>Intellectual Property Repository</x:v>
      </x:c>
      <x:c r="C42" s="82" t="str">
        <x:v>Information Asset</x:v>
      </x:c>
      <x:c r="D42" s="82" t="str">
        <x:v>Authoritative collection of proprietary designs, source code, firmware, research, and engineering documentation.</x:v>
      </x:c>
      <x:c r="E42" s="82" t="str">
        <x:v>Engineering &amp; R&amp;D</x:v>
      </x:c>
      <x:c r="F42" s="82" t="str">
        <x:v>Chief Technology Officer (CTO)</x:v>
      </x:c>
      <x:c r="G42" s="82" t="str">
        <x:v>Director of Engineering &amp; R&amp;D</x:v>
      </x:c>
      <x:c r="H42" s="82" t="str">
        <x:v>Multiple controlled repositories</x:v>
      </x:c>
      <x:c r="I42" s="82" t="str">
        <x:v>Corporate</x:v>
      </x:c>
      <x:c r="J42" s="82" t="str">
        <x:v>Hybrid</x:v>
      </x:c>
      <x:c r="K42" s="82" t="str">
        <x:v>NovaForge</x:v>
      </x:c>
      <x:c r="L42" s="82" t="str">
        <x:v>GitHub / CAD Vault / SharePoint</x:v>
      </x:c>
      <x:c r="M42" s="82" t="str">
        <x:v>Restricted</x:v>
      </x:c>
      <x:c r="N42" s="82" t="str">
        <x:v>Critical</x:v>
      </x:c>
      <x:c r="O42" s="82" t="str">
        <x:v>No</x:v>
      </x:c>
      <x:c r="P42" s="82" t="str">
        <x:v>Yes</x:v>
      </x:c>
      <x:c r="Q42" s="82" t="str">
        <x:v>Protected</x:v>
      </x:c>
      <x:c r="R42" s="82" t="str">
        <x:v>Active</x:v>
      </x:c>
      <x:c r="S42" s="83" t="n">
        <x:v>46250</x:v>
      </x:c>
      <x:c r="T42" s="82" t="str">
        <x:v>Logical information asset spanning multiple systems; access and retention must be consistently governed.</x:v>
      </x:c>
    </x:row>
    <x:row r="43" ht="38" customHeight="1">
      <x:c r="A43" s="78" t="str">
        <x:v>NF-AST-034</x:v>
      </x:c>
      <x:c r="B43" s="79" t="str">
        <x:v>Employee Records</x:v>
      </x:c>
      <x:c r="C43" s="79" t="str">
        <x:v>Information Asset</x:v>
      </x:c>
      <x:c r="D43" s="79" t="str">
        <x:v>Personnel, payroll, benefits, performance, training, and employment documentation.</x:v>
      </x:c>
      <x:c r="E43" s="79" t="str">
        <x:v>Human Resources</x:v>
      </x:c>
      <x:c r="F43" s="79" t="str">
        <x:v>Director of Human Resources</x:v>
      </x:c>
      <x:c r="G43" s="79" t="str">
        <x:v>Human Resources</x:v>
      </x:c>
      <x:c r="H43" s="79" t="str">
        <x:v>HRIS / Microsoft 365</x:v>
      </x:c>
      <x:c r="I43" s="79" t="str">
        <x:v>Corporate</x:v>
      </x:c>
      <x:c r="J43" s="79" t="str">
        <x:v>Hybrid</x:v>
      </x:c>
      <x:c r="K43" s="79" t="str">
        <x:v>NovaForge</x:v>
      </x:c>
      <x:c r="L43" s="79" t="str">
        <x:v>BambooHR / ADP / SharePoint</x:v>
      </x:c>
      <x:c r="M43" s="79" t="str">
        <x:v>Restricted</x:v>
      </x:c>
      <x:c r="N43" s="79" t="str">
        <x:v>High</x:v>
      </x:c>
      <x:c r="O43" s="79" t="str">
        <x:v>No</x:v>
      </x:c>
      <x:c r="P43" s="79" t="str">
        <x:v>Yes</x:v>
      </x:c>
      <x:c r="Q43" s="79" t="str">
        <x:v>Protected</x:v>
      </x:c>
      <x:c r="R43" s="79" t="str">
        <x:v>Active</x:v>
      </x:c>
      <x:c r="S43" s="80" t="n">
        <x:v>46250</x:v>
      </x:c>
      <x:c r="T43" s="79" t="str">
        <x:v>Subject to privacy, retention, least-privilege, and secure-disposal requirements.</x:v>
      </x:c>
    </x:row>
    <x:row r="44" ht="38" customHeight="1">
      <x:c r="A44" s="84" t="str">
        <x:v>NF-AST-035</x:v>
      </x:c>
      <x:c r="B44" s="85" t="str">
        <x:v>Manufacturing and Robotics Telemetry</x:v>
      </x:c>
      <x:c r="C44" s="85" t="str">
        <x:v>Information Asset</x:v>
      </x:c>
      <x:c r="D44" s="85" t="str">
        <x:v>Operational measurements, equipment status, test results, production performance, and robotic diagnostic data.</x:v>
      </x:c>
      <x:c r="E44" s="85" t="str">
        <x:v>Manufacturing Operations</x:v>
      </x:c>
      <x:c r="F44" s="85" t="str">
        <x:v>Manufacturing Manager</x:v>
      </x:c>
      <x:c r="G44" s="85" t="str">
        <x:v>Robotics Testing</x:v>
      </x:c>
      <x:c r="H44" s="85" t="str">
        <x:v>ForgeVision / AWS</x:v>
      </x:c>
      <x:c r="I44" s="85" t="str">
        <x:v>Production</x:v>
      </x:c>
      <x:c r="J44" s="85" t="str">
        <x:v>Hybrid</x:v>
      </x:c>
      <x:c r="K44" s="85" t="str">
        <x:v>NovaForge</x:v>
      </x:c>
      <x:c r="L44" s="85" t="str">
        <x:v>Telemetry Data Lake</x:v>
      </x:c>
      <x:c r="M44" s="85" t="str">
        <x:v>Confidential</x:v>
      </x:c>
      <x:c r="N44" s="85" t="str">
        <x:v>High</x:v>
      </x:c>
      <x:c r="O44" s="85" t="str">
        <x:v>No</x:v>
      </x:c>
      <x:c r="P44" s="85" t="str">
        <x:v>Yes</x:v>
      </x:c>
      <x:c r="Q44" s="85" t="str">
        <x:v>Protected</x:v>
      </x:c>
      <x:c r="R44" s="85" t="str">
        <x:v>Active</x:v>
      </x:c>
      <x:c r="S44" s="86" t="n">
        <x:v>46250</x:v>
      </x:c>
      <x:c r="T44" s="85" t="str">
        <x:v>Supports operations, quality, customer service, and product improvement; retention must be defined.</x:v>
      </x:c>
    </x:row>
  </x:sheetData>
  <x:mergeCells>
    <x:mergeCell ref="A1:T1"/>
    <x:mergeCell ref="A2:T2"/>
    <x:mergeCell ref="L4:T5"/>
  </x:mergeCells>
  <x:conditionalFormatting sqref="N10:N209">
    <x:cfRule type="containsText" dxfId="0" priority="1" operator="containsText" text="Critical"/>
    <x:cfRule type="containsText" dxfId="1" priority="2" operator="containsText" text="High"/>
    <x:cfRule type="containsText" dxfId="2" priority="3" operator="containsText" text="Moderate"/>
    <x:cfRule type="containsText" dxfId="3" priority="4" operator="containsText" text="Low"/>
  </x:conditionalFormatting>
  <x:conditionalFormatting sqref="M10:M209">
    <x:cfRule type="containsText" dxfId="4" priority="5" operator="containsText" text="Restricted"/>
  </x:conditionalFormatting>
  <x:conditionalFormatting sqref="Q10:Q209">
    <x:cfRule type="containsText" dxfId="5" priority="6" operator="containsText" text="Partial"/>
  </x:conditionalFormatting>
  <x:dataValidations count="6">
    <x:dataValidation type="list" sqref="C10:C209">
      <x:formula1>"SaaS,Cloud Infrastructure,Server,Endpoint,Network Device,Security Tool,Engineering System,Manufacturing/OT,Business Application,Information Asset,Third-Party Service"</x:formula1>
    </x:dataValidation>
    <x:dataValidation type="list" sqref="M10:M209">
      <x:formula1>"Public,Internal,Confidential,Restricted"</x:formula1>
    </x:dataValidation>
    <x:dataValidation type="list" sqref="N10:N209">
      <x:formula1>"Critical,High,Moderate,Low"</x:formula1>
    </x:dataValidation>
    <x:dataValidation type="list" sqref="O10:P209">
      <x:formula1>"Yes,No,Unknown"</x:formula1>
    </x:dataValidation>
    <x:dataValidation type="list" sqref="Q10:Q209">
      <x:formula1>"Protected,Partial,Not Applicable,Unknown"</x:formula1>
    </x:dataValidation>
    <x:dataValidation type="list" sqref="R10:R209">
      <x:formula1>"Planned,Active,Maintenance,Retiring,Retired"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aa139667f2447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3" max="3" width="4" hidden="0" customWidth="1"/>
    <x:col min="4" max="4" width="18" hidden="0" customWidth="1"/>
    <x:col min="5" max="5" width="18" hidden="0" customWidth="1"/>
    <x:col min="6" max="6" width="58" hidden="0" customWidth="1"/>
  </x:cols>
  <x:sheetData>
    <x:row r="1" ht="32" customHeight="1">
      <x:c r="A1" s="3" t="str">
        <x:v>NF-GRC-004 — Definitions, Ratings &amp; Data Entry Guidance</x:v>
      </x:c>
      <x:c r="B1" s="3"/>
      <x:c r="C1" s="3"/>
      <x:c r="D1" s="3"/>
      <x:c r="E1" s="3"/>
      <x:c r="F1" s="3"/>
    </x:row>
    <x:row r="2">
      <x:c r="A2" s="87" t="str">
        <x:v>Use these definitions consistently when adding or reviewing assets. Unknown values should remain visible rather than being guessed.</x:v>
      </x:c>
      <x:c r="B2" s="87"/>
      <x:c r="C2" s="87"/>
      <x:c r="D2" s="87"/>
      <x:c r="E2" s="87"/>
      <x:c r="F2" s="87"/>
    </x:row>
    <x:row r="4" ht="30" customHeight="1">
      <x:c r="A4" s="89" t="str">
        <x:v>Field</x:v>
      </x:c>
      <x:c r="B4" s="89" t="str">
        <x:v>Definition / Entry Guidance</x:v>
      </x:c>
      <x:c r="D4" s="56" t="str">
        <x:v>Rating Type</x:v>
      </x:c>
      <x:c r="E4" s="56" t="str">
        <x:v>Value</x:v>
      </x:c>
      <x:c r="F4" s="56" t="str">
        <x:v>Meaning</x:v>
      </x:c>
    </x:row>
    <x:row r="5" ht="30" customHeight="1">
      <x:c r="A5" s="96" t="str">
        <x:v>Asset ID</x:v>
      </x:c>
      <x:c r="B5" s="96" t="str">
        <x:v>Unique identifier using the NF-AST-### convention.</x:v>
      </x:c>
      <x:c r="D5" s="96" t="str">
        <x:v>Criticality</x:v>
      </x:c>
      <x:c r="E5" s="96" t="str">
        <x:v>Critical</x:v>
      </x:c>
      <x:c r="F5" s="96" t="str">
        <x:v>Loss or compromise could stop critical operations, create serious safety impact, or cause major business harm.</x:v>
      </x:c>
    </x:row>
    <x:row r="6" ht="30" customHeight="1">
      <x:c r="A6" s="97" t="str">
        <x:v>Asset Name</x:v>
      </x:c>
      <x:c r="B6" s="97" t="str">
        <x:v>Recognizable system, service, fleet, platform, or information-asset name.</x:v>
      </x:c>
      <x:c r="D6" s="97" t="str">
        <x:v>Criticality</x:v>
      </x:c>
      <x:c r="E6" s="97" t="str">
        <x:v>High</x:v>
      </x:c>
      <x:c r="F6" s="97" t="str">
        <x:v>Loss or compromise would materially disrupt a major business function and require urgent recovery.</x:v>
      </x:c>
    </x:row>
    <x:row r="7" ht="30" customHeight="1">
      <x:c r="A7" s="97" t="str">
        <x:v>Asset Category</x:v>
      </x:c>
      <x:c r="B7" s="97" t="str">
        <x:v>Standard category describing the primary nature of the asset.</x:v>
      </x:c>
      <x:c r="D7" s="97" t="str">
        <x:v>Criticality</x:v>
      </x:c>
      <x:c r="E7" s="97" t="str">
        <x:v>Moderate</x:v>
      </x:c>
      <x:c r="F7" s="97" t="str">
        <x:v>Loss or compromise would cause manageable disruption with available workarounds.</x:v>
      </x:c>
    </x:row>
    <x:row r="8" ht="30" customHeight="1">
      <x:c r="A8" s="97" t="str">
        <x:v>Business Purpose</x:v>
      </x:c>
      <x:c r="B8" s="97" t="str">
        <x:v>Plain-language explanation of the business function supported by the asset.</x:v>
      </x:c>
      <x:c r="D8" s="97" t="str">
        <x:v>Criticality</x:v>
      </x:c>
      <x:c r="E8" s="97" t="str">
        <x:v>Low</x:v>
      </x:c>
      <x:c r="F8" s="97" t="str">
        <x:v>Loss or compromise would have limited business impact and can tolerate extended recovery.</x:v>
      </x:c>
    </x:row>
    <x:row r="9" ht="30" customHeight="1">
      <x:c r="A9" s="97" t="str">
        <x:v>Department</x:v>
      </x:c>
      <x:c r="B9" s="97" t="str">
        <x:v>Organizational function accountable for the asset or information.</x:v>
      </x:c>
      <x:c r="D9" s="97" t="str">
        <x:v>Classification</x:v>
      </x:c>
      <x:c r="E9" s="97" t="str">
        <x:v>Public</x:v>
      </x:c>
      <x:c r="F9" s="97" t="str">
        <x:v>Approved for public release.</x:v>
      </x:c>
    </x:row>
    <x:row r="10" ht="30" customHeight="1">
      <x:c r="A10" s="97" t="str">
        <x:v>Business Owner</x:v>
      </x:c>
      <x:c r="B10" s="97" t="str">
        <x:v>Role accountable for business use, risk decisions, and appropriate protection.</x:v>
      </x:c>
      <x:c r="D10" s="97" t="str">
        <x:v>Classification</x:v>
      </x:c>
      <x:c r="E10" s="97" t="str">
        <x:v>Internal</x:v>
      </x:c>
      <x:c r="F10" s="97" t="str">
        <x:v>Routine internal business information not intended for public release.</x:v>
      </x:c>
    </x:row>
    <x:row r="11" ht="30" customHeight="1">
      <x:c r="A11" s="97" t="str">
        <x:v>Technical Custodian</x:v>
      </x:c>
      <x:c r="B11" s="97" t="str">
        <x:v>Role responsible for administration, operation, maintenance, or support.</x:v>
      </x:c>
      <x:c r="D11" s="97" t="str">
        <x:v>Classification</x:v>
      </x:c>
      <x:c r="E11" s="97" t="str">
        <x:v>Confidential</x:v>
      </x:c>
      <x:c r="F11" s="97" t="str">
        <x:v>Sensitive business or personal information requiring controlled access.</x:v>
      </x:c>
    </x:row>
    <x:row r="12" ht="30" customHeight="1">
      <x:c r="A12" s="97" t="str">
        <x:v>Location</x:v>
      </x:c>
      <x:c r="B12" s="97" t="str">
        <x:v>Primary physical site, cloud region, SaaS environment, or logical repository.</x:v>
      </x:c>
      <x:c r="D12" s="97" t="str">
        <x:v>Classification</x:v>
      </x:c>
      <x:c r="E12" s="97" t="str">
        <x:v>Restricted</x:v>
      </x:c>
      <x:c r="F12" s="97" t="str">
        <x:v>Most sensitive information requiring strict need-to-know access and enhanced protection.</x:v>
      </x:c>
    </x:row>
    <x:row r="13" ht="30" customHeight="1">
      <x:c r="A13" s="97" t="str">
        <x:v>Environment</x:v>
      </x:c>
      <x:c r="B13" s="97" t="str">
        <x:v>Corporate, Production, Development/Test, or Manufacturing/OT context.</x:v>
      </x:c>
      <x:c r="D13" s="97" t="str">
        <x:v>Backup</x:v>
      </x:c>
      <x:c r="E13" s="97" t="str">
        <x:v>Protected</x:v>
      </x:c>
      <x:c r="F13" s="97" t="str">
        <x:v>Documented backup or recovery capability exists and is expected to meet requirements.</x:v>
      </x:c>
    </x:row>
    <x:row r="14" ht="30" customHeight="1">
      <x:c r="A14" s="97" t="str">
        <x:v>Hosting Model</x:v>
      </x:c>
      <x:c r="B14" s="97" t="str">
        <x:v>How the asset is deployed or delivered: SaaS, cloud, on-premises, endpoint, or hybrid.</x:v>
      </x:c>
      <x:c r="D14" s="97" t="str">
        <x:v>Backup</x:v>
      </x:c>
      <x:c r="E14" s="97" t="str">
        <x:v>Partial</x:v>
      </x:c>
      <x:c r="F14" s="97" t="str">
        <x:v>Some protection exists, but coverage, independence, or restoration confidence is incomplete.</x:v>
      </x:c>
    </x:row>
    <x:row r="15" ht="30" customHeight="1">
      <x:c r="A15" s="97" t="str">
        <x:v>Data Classification</x:v>
      </x:c>
      <x:c r="B15" s="97" t="str">
        <x:v>Highest classification of information routinely stored, processed, or transmitted.</x:v>
      </x:c>
      <x:c r="D15" s="97" t="str">
        <x:v>Backup</x:v>
      </x:c>
      <x:c r="E15" s="97" t="str">
        <x:v>Not Applicable</x:v>
      </x:c>
      <x:c r="F15" s="97" t="str">
        <x:v>Asset does not retain recoverable data or configuration requiring backup.</x:v>
      </x:c>
    </x:row>
    <x:row r="16" ht="30" customHeight="1">
      <x:c r="A16" s="97" t="str">
        <x:v>Business Criticality</x:v>
      </x:c>
      <x:c r="B16" s="97" t="str">
        <x:v>Business impact if the asset becomes unavailable, compromised, or unreliable.</x:v>
      </x:c>
      <x:c r="D16" s="98" t="str">
        <x:v>Backup</x:v>
      </x:c>
      <x:c r="E16" s="98" t="str">
        <x:v>Unknown</x:v>
      </x:c>
      <x:c r="F16" s="98" t="str">
        <x:v>Backup status has not yet been validated.</x:v>
      </x:c>
    </x:row>
    <x:row r="17" ht="30" customHeight="1">
      <x:c r="A17" s="97" t="str">
        <x:v>Internet-Facing</x:v>
      </x:c>
      <x:c r="B17" s="97" t="str">
        <x:v>Yes when the asset exposes a service or management interface to the public internet.</x:v>
      </x:c>
    </x:row>
    <x:row r="18" ht="30" customHeight="1">
      <x:c r="A18" s="97" t="str">
        <x:v>Sensitive Data</x:v>
      </x:c>
      <x:c r="B18" s="97" t="str">
        <x:v>Yes when Confidential or Restricted data is stored, processed, or transmitted.</x:v>
      </x:c>
    </x:row>
    <x:row r="19" ht="30" customHeight="1">
      <x:c r="A19" s="97" t="str">
        <x:v>Backup Status</x:v>
      </x:c>
      <x:c r="B19" s="97" t="str">
        <x:v>Current protection status for data, configuration, or recovery capability.</x:v>
      </x:c>
    </x:row>
    <x:row r="20" ht="30" customHeight="1">
      <x:c r="A20" s="97" t="str">
        <x:v>Lifecycle Status</x:v>
      </x:c>
      <x:c r="B20" s="97" t="str">
        <x:v>Current operational state of the asset.</x:v>
      </x:c>
    </x:row>
    <x:row r="21" ht="30" customHeight="1">
      <x:c r="A21" s="98" t="str">
        <x:v>Last Review Date</x:v>
      </x:c>
      <x:c r="B21" s="98" t="str">
        <x:v>Most recent date the record was validated by the owner or custodian.</x:v>
      </x:c>
    </x:row>
    <x:row r="22" ht="30" customHeight="1"/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4" hidden="0" customWidth="1"/>
    <x:col min="4" max="4" width="22" hidden="0" customWidth="1"/>
    <x:col min="5" max="5" width="14" hidden="0" customWidth="1"/>
    <x:col min="7" max="7" width="13" hidden="0" customWidth="1"/>
    <x:col min="8" max="8" width="13" hidden="0" customWidth="1"/>
    <x:col min="10" max="10" width="13" hidden="0" customWidth="1"/>
    <x:col min="11" max="11" width="13" hidden="0" customWidth="1"/>
  </x:cols>
  <x:sheetData>
    <x:row r="1" ht="34" customHeight="1">
      <x:c r="A1" s="3" t="str">
        <x:v>NF-GRC-004 — Asset Inventory Summary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5" t="str">
        <x:v>Baseline portfolio view — all metrics update from the Asset Register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4">
      <x:c r="A4" s="104" t="str">
        <x:v>TOTAL ASSETS</x:v>
      </x:c>
      <x:c r="B4" s="105"/>
      <x:c r="D4" s="124" t="str">
        <x:v>CRITICAL ASSETS</x:v>
      </x:c>
      <x:c r="E4" s="125"/>
      <x:c r="G4" s="146" t="str">
        <x:v>INTERNET-FACING</x:v>
      </x:c>
      <x:c r="H4" s="147"/>
      <x:c r="J4" s="165" t="str">
        <x:v>RESTRICTED DATA</x:v>
      </x:c>
      <x:c r="K4" s="166"/>
    </x:row>
    <x:row r="5">
      <x:c r="A5" s="116" t="n">
        <x:f>COUNTA('Asset Register'!$A$10:$A$209)</x:f>
        <x:v>35</x:v>
      </x:c>
      <x:c r="B5" s="117"/>
      <x:c r="D5" s="136" t="n">
        <x:f>COUNTIF('Asset Register'!$N$10:$N$209,"Critical")</x:f>
        <x:v>10</x:v>
      </x:c>
      <x:c r="E5" s="137"/>
      <x:c r="G5" s="157" t="n">
        <x:f>COUNTIF('Asset Register'!$O$10:$O$209,"Yes")</x:f>
        <x:v>19</x:v>
      </x:c>
      <x:c r="H5" s="158"/>
      <x:c r="J5" s="177" t="n">
        <x:f>COUNTIF('Asset Register'!$M$10:$M$209,"Restricted")</x:f>
        <x:v>18</x:v>
      </x:c>
      <x:c r="K5" s="178"/>
    </x:row>
    <x:row r="6">
      <x:c r="A6" s="118"/>
      <x:c r="B6" s="119"/>
      <x:c r="D6" s="138"/>
      <x:c r="E6" s="139"/>
      <x:c r="G6" s="159"/>
      <x:c r="H6" s="160"/>
      <x:c r="J6" s="179"/>
      <x:c r="K6" s="180"/>
    </x:row>
    <x:row r="9">
      <x:c r="A9" s="184" t="str">
        <x:v>Criticality</x:v>
      </x:c>
      <x:c r="B9" s="184" t="str">
        <x:v>Asset Count</x:v>
      </x:c>
      <x:c r="D9" s="186" t="str">
        <x:v>Classification</x:v>
      </x:c>
      <x:c r="E9" s="186" t="str">
        <x:v>Asset Count</x:v>
      </x:c>
    </x:row>
    <x:row r="10">
      <x:c r="A10" s="182" t="str">
        <x:v>Critical</x:v>
      </x:c>
      <x:c r="B10" s="182" t="n">
        <x:f>COUNTIF('Asset Register'!$N$10:$N$209,A10)</x:f>
        <x:v>10</x:v>
      </x:c>
      <x:c r="D10" s="182" t="str">
        <x:v>Public</x:v>
      </x:c>
      <x:c r="E10" s="182" t="n">
        <x:f>COUNTIF('Asset Register'!$M$10:$M$209,D10)</x:f>
        <x:v>1</x:v>
      </x:c>
    </x:row>
    <x:row r="11">
      <x:c r="A11" s="182" t="str">
        <x:v>High</x:v>
      </x:c>
      <x:c r="B11" s="182" t="n">
        <x:f>COUNTIF('Asset Register'!$N$10:$N$209,A11)</x:f>
        <x:v>23</x:v>
      </x:c>
      <x:c r="D11" s="182" t="str">
        <x:v>Internal</x:v>
      </x:c>
      <x:c r="E11" s="182" t="n">
        <x:f>COUNTIF('Asset Register'!$M$10:$M$209,D11)</x:f>
        <x:v>2</x:v>
      </x:c>
    </x:row>
    <x:row r="12">
      <x:c r="A12" s="182" t="str">
        <x:v>Moderate</x:v>
      </x:c>
      <x:c r="B12" s="182" t="n">
        <x:f>COUNTIF('Asset Register'!$N$10:$N$209,A12)</x:f>
        <x:v>2</x:v>
      </x:c>
      <x:c r="D12" s="182" t="str">
        <x:v>Confidential</x:v>
      </x:c>
      <x:c r="E12" s="182" t="n">
        <x:f>COUNTIF('Asset Register'!$M$10:$M$209,D12)</x:f>
        <x:v>14</x:v>
      </x:c>
    </x:row>
    <x:row r="13">
      <x:c r="A13" s="182" t="str">
        <x:v>Low</x:v>
      </x:c>
      <x:c r="B13" s="182" t="n">
        <x:f>COUNTIF('Asset Register'!$N$10:$N$209,A13)</x:f>
        <x:v>0</x:v>
      </x:c>
      <x:c r="D13" s="182" t="str">
        <x:v>Restricted</x:v>
      </x:c>
      <x:c r="E13" s="182" t="n">
        <x:f>COUNTIF('Asset Register'!$M$10:$M$209,D13)</x:f>
        <x:v>18</x:v>
      </x:c>
    </x:row>
    <x:row r="16">
      <x:c r="A16" s="188" t="str">
        <x:v>Department</x:v>
      </x:c>
      <x:c r="B16" s="188" t="str">
        <x:v>Asset Count</x:v>
      </x:c>
      <x:c r="D16" s="207" t="str">
        <x:v>Interpretation: Critical assets require the strongest recovery, monitoring, access-control, and change-management attention. Internet-facing and Restricted-data assets will become priority inputs to NF-GRC-005 risk assessment work.</x:v>
      </x:c>
      <x:c r="E16" s="208"/>
      <x:c r="F16" s="209"/>
    </x:row>
    <x:row r="17">
      <x:c r="A17" s="182" t="str">
        <x:v>Information Technology</x:v>
      </x:c>
      <x:c r="B17" s="182" t="n">
        <x:f>COUNTIF('Asset Register'!$E$10:$E$209,A17)</x:f>
        <x:v>8</x:v>
      </x:c>
      <x:c r="D17" s="210"/>
      <x:c r="E17" s="211"/>
      <x:c r="F17" s="212"/>
    </x:row>
    <x:row r="18">
      <x:c r="A18" s="182" t="str">
        <x:v>Information Security</x:v>
      </x:c>
      <x:c r="B18" s="182" t="n">
        <x:f>COUNTIF('Asset Register'!$E$10:$E$209,A18)</x:f>
        <x:v>2</x:v>
      </x:c>
      <x:c r="D18" s="210"/>
      <x:c r="E18" s="211"/>
      <x:c r="F18" s="212"/>
    </x:row>
    <x:row r="19">
      <x:c r="A19" s="182" t="str">
        <x:v>Engineering &amp; R&amp;D</x:v>
      </x:c>
      <x:c r="B19" s="182" t="n">
        <x:f>COUNTIF('Asset Register'!$E$10:$E$209,A19)</x:f>
        <x:v>10</x:v>
      </x:c>
      <x:c r="D19" s="210"/>
      <x:c r="E19" s="211"/>
      <x:c r="F19" s="212"/>
    </x:row>
    <x:row r="20">
      <x:c r="A20" s="182" t="str">
        <x:v>Manufacturing Operations</x:v>
      </x:c>
      <x:c r="B20" s="182" t="n">
        <x:f>COUNTIF('Asset Register'!$E$10:$E$209,A20)</x:f>
        <x:v>7</x:v>
      </x:c>
      <x:c r="D20" s="210"/>
      <x:c r="E20" s="211"/>
      <x:c r="F20" s="212"/>
    </x:row>
    <x:row r="21">
      <x:c r="A21" s="182" t="str">
        <x:v>Sales &amp; Customer Success</x:v>
      </x:c>
      <x:c r="B21" s="182" t="n">
        <x:f>COUNTIF('Asset Register'!$E$10:$E$209,A21)</x:f>
        <x:v>3</x:v>
      </x:c>
      <x:c r="D21" s="213"/>
      <x:c r="E21" s="214"/>
      <x:c r="F21" s="215"/>
    </x:row>
    <x:row r="22">
      <x:c r="A22" s="182" t="str">
        <x:v>Human Resources</x:v>
      </x:c>
      <x:c r="B22" s="182" t="n">
        <x:f>COUNTIF('Asset Register'!$E$10:$E$209,A22)</x:f>
        <x:v>2</x:v>
      </x:c>
    </x:row>
    <x:row r="23">
      <x:c r="A23" s="182" t="str">
        <x:v>Finance &amp; Accounting</x:v>
      </x:c>
      <x:c r="B23" s="182" t="n">
        <x:f>COUNTIF('Asset Register'!$E$10:$E$209,A23)</x:f>
        <x:v>1</x:v>
      </x:c>
    </x:row>
    <x:row r="24">
      <x:c r="A24" s="182" t="str">
        <x:v>Supply Chain &amp; Procurement</x:v>
      </x:c>
      <x:c r="B24" s="182" t="n">
        <x:f>COUNTIF('Asset Register'!$E$10:$E$209,A24)</x:f>
        <x:v>1</x:v>
      </x:c>
    </x:row>
    <x:row r="25">
      <x:c r="A25" s="182" t="str">
        <x:v>Field Services</x:v>
      </x:c>
      <x:c r="B25" s="182" t="n">
        <x:f>COUNTIF('Asset Register'!$E$10:$E$209,A25)</x:f>
        <x:v>1</x:v>
      </x:c>
    </x:row>
  </x:sheetData>
  <x:mergeCells>
    <x:mergeCell ref="A1:Q1"/>
    <x:mergeCell ref="A2:Q2"/>
    <x:mergeCell ref="A4:B4"/>
    <x:mergeCell ref="A5:B6"/>
    <x:mergeCell ref="D4:E4"/>
    <x:mergeCell ref="D5:E6"/>
    <x:mergeCell ref="G4:H4"/>
    <x:mergeCell ref="G5:H6"/>
    <x:mergeCell ref="J4:K4"/>
    <x:mergeCell ref="J5:K6"/>
    <x:mergeCell ref="D16:F21"/>
  </x:mergeCells>
  <x:pageMargins left="0.7" right="0.7" top="0.75" bottom="0.75" header="0.3" footer="0.3"/>
  <x:drawing xmlns:r="http://schemas.openxmlformats.org/officeDocument/2006/relationships" r:id="R26be9937926a47fd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20" hidden="0" customWidth="1"/>
    <x:col min="4" max="4" width="22" hidden="0" customWidth="1"/>
    <x:col min="5" max="5" width="70" hidden="0" customWidth="1"/>
    <x:col min="6" max="6" width="22" hidden="0" customWidth="1"/>
  </x:cols>
  <x:sheetData>
    <x:row r="1" ht="32" customHeight="1">
      <x:c r="A1" s="3" t="str">
        <x:v>NF-GRC-004 — Revision &amp; Approval History</x:v>
      </x:c>
      <x:c r="B1" s="3"/>
      <x:c r="C1" s="3"/>
      <x:c r="D1" s="3"/>
      <x:c r="E1" s="3"/>
      <x:c r="F1" s="3"/>
    </x:row>
    <x:row r="3">
      <x:c r="A3" s="216" t="str">
        <x:v>Version</x:v>
      </x:c>
      <x:c r="B3" s="216" t="str">
        <x:v>Date</x:v>
      </x:c>
      <x:c r="C3" s="216" t="str">
        <x:v>Custodian</x:v>
      </x:c>
      <x:c r="D3" s="216" t="str">
        <x:v>Reviewer</x:v>
      </x:c>
      <x:c r="E3" s="216" t="str">
        <x:v>Change Summary</x:v>
      </x:c>
      <x:c r="F3" s="216" t="str">
        <x:v>Approval Status</x:v>
      </x:c>
    </x:row>
    <x:row r="4" ht="52" customHeight="1">
      <x:c r="A4" s="221" t="str">
        <x:v>0.1</x:v>
      </x:c>
      <x:c r="B4" s="220" t="n">
        <x:v>46250</x:v>
      </x:c>
      <x:c r="C4" s="219" t="str">
        <x:v>GRC Analyst</x:v>
      </x:c>
      <x:c r="D4" s="219" t="str">
        <x:v>Security Manager</x:v>
      </x:c>
      <x:c r="E4" s="219" t="str">
        <x:v>Initial baseline created from the approved NovaForge Company Profile, Program Charter, and Organizational Governance artifact.</x:v>
      </x:c>
      <x:c r="F4" s="219" t="str">
        <x:v>Draft for Review</x:v>
      </x:c>
    </x:row>
    <x:row r="5" ht="52" customHeight="1">
      <x:c r="A5" s="221" t="str">
        <x:v>0.2</x:v>
      </x:c>
      <x:c r="B5" s="220" t="n">
        <x:v>46250</x:v>
      </x:c>
      <x:c r="C5" s="219" t="str">
        <x:v>GRC Analyst</x:v>
      </x:c>
      <x:c r="D5" s="219" t="str">
        <x:v>Security Manager</x:v>
      </x:c>
      <x:c r="E5" s="219" t="str">
        <x:v>Applied the approved NovaForge company color palette across all workbook tabs; asset data and formulas unchanged.</x:v>
      </x:c>
      <x:c r="F5" s="223" t="str">
        <x:v>Draft for Review</x:v>
      </x:c>
    </x:row>
    <x:row r="6" ht="52" customHeight="1">
      <x:c r="A6" s="230" t="str">
        <x:v>1.0</x:v>
      </x:c>
      <x:c r="B6" s="231" t="n">
        <x:v>46250</x:v>
      </x:c>
      <x:c r="C6" s="232" t="str">
        <x:v>GRC Analyst</x:v>
      </x:c>
      <x:c r="D6" s="232" t="str">
        <x:v>Security Manager</x:v>
      </x:c>
      <x:c r="E6" s="232" t="str">
        <x:v>Approved baseline containing 35 representative NovaForge assets and supporting summary metrics.</x:v>
      </x:c>
      <x:c r="F6" s="233" t="str">
        <x:v>Approved</x:v>
      </x:c>
    </x:row>
  </x:sheetData>
  <x:mergeCells>
    <x:mergeCell ref="A1:F1"/>
  </x:mergeCells>
  <x:pageMargins left="0.7" right="0.7" top="0.75" bottom="0.75" header="0.3" footer="0.3"/>
</x:worksheet>
</file>