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2.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e6610c987dbf4561" /></Relationships>
</file>

<file path=xl/workbook.xml><?xml version="1.0" encoding="utf-8"?>
<x:workbook xmlns:x="http://schemas.openxmlformats.org/spreadsheetml/2006/main">
  <x:sheets>
    <x:sheet xmlns:r="http://schemas.openxmlformats.org/officeDocument/2006/relationships" name="Risk Register" sheetId="1" r:id="R239bec948a7247de"/>
    <x:sheet xmlns:r="http://schemas.openxmlformats.org/officeDocument/2006/relationships" name="Executive Summary" sheetId="2" r:id="R07524bae2db44d5a"/>
    <x:sheet xmlns:r="http://schemas.openxmlformats.org/officeDocument/2006/relationships" name="Risk Heat Map" sheetId="3" r:id="Raec1bb48b386425a"/>
    <x:sheet xmlns:r="http://schemas.openxmlformats.org/officeDocument/2006/relationships" name="Methodology &amp; Scales" sheetId="4" r:id="Rfb5b5eed43cb47ff"/>
    <x:sheet xmlns:r="http://schemas.openxmlformats.org/officeDocument/2006/relationships" name="Asset Scope" sheetId="5" r:id="Rc01fa5a53628480c"/>
    <x:sheet xmlns:r="http://schemas.openxmlformats.org/officeDocument/2006/relationships" name="Risk-Asset Map" sheetId="6" r:id="R48a51fc87c1b45d9"/>
    <x:sheet xmlns:r="http://schemas.openxmlformats.org/officeDocument/2006/relationships" name="Revision History" sheetId="7" r:id="R340dd806f26347a8"/>
  </x:sheets>
</x:workbook>
</file>

<file path=xl/comments1.xml><?xml version="1.0" encoding="utf-8"?>
<x:comments xmlns:x="http://schemas.openxmlformats.org/spreadsheetml/2006/main">
  <x:authors>
    <x:author>tc={79DA5AE7-11AC-484D-83AF-A4809B31AE15}</x:author>
    <x:author>tc={CAD92C1B-A1A8-F540-BCAD-7F85F2C07DD2}</x:author>
  </x:authors>
  <x:commentList>
    <x:comment ref="N9" authorId="0">
      <x:text>
        <x:r>
          <x:t>[Threaded comment]
Your version of Excel allows you to read this threaded comment; however, any edits to it will get removed if the file is opened in a newer version of Excel. Learn more: https://go.microsoft.com/fwlink/?linkid=870924
Comment:
    Inherent Score is calculated as Inherent Likelihood × Inherent Impact using the visible Methodology &amp; Scales thresholds.</x:t>
        </x:r>
      </x:text>
    </x:comment>
    <x:comment ref="R9" authorId="1">
      <x:text>
        <x:r>
          <x:t>[Threaded comment]
Your version of Excel allows you to read this threaded comment; however, any edits to it will get removed if the file is opened in a newer version of Excel. Learn more: https://go.microsoft.com/fwlink/?linkid=870924
Comment:
    Residual Score is calculated after considering existing controls. Planned mitigations do not reduce residual scoring until implemented and evidenced.</x:t>
        </x:r>
      </x:text>
    </x:comment>
  </x:commentList>
</x:comments>
</file>

<file path=xl/comments2.xml><?xml version="1.0" encoding="utf-8"?>
<x:comments xmlns:x="http://schemas.openxmlformats.org/spreadsheetml/2006/main">
  <x:authors>
    <x:author>tc={46ABE3A9-AA06-A09C-B71E-52B520C5D32B}</x:author>
  </x:authors>
  <x:commentList>
    <x:comment ref="D4" authorId="0">
      <x:text>
        <x:r>
          <x:t>[Threaded comment]
Your version of Excel allows you to read this threaded comment; however, any edits to it will get removed if the file is opened in a newer version of Excel. Learn more: https://go.microsoft.com/fwlink/?linkid=870924
Comment:
    Above appetite includes residual High and Critical risks according to the NovaForge response thresholds.</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0"/>
  </x:numFmts>
  <x:fonts count="14">
    <x:font>
      <x:sz val="11"/>
      <x:name val="Carlito"/>
    </x:font>
    <x:font>
      <x:b/>
      <x:sz val="16"/>
      <x:color rgb="FFFFFFFF"/>
      <x:name val="Carlito"/>
    </x:font>
    <x:font>
      <x:b/>
      <x:sz val="10"/>
      <x:color rgb="FF17111D"/>
      <x:name val="Carlito"/>
    </x:font>
    <x:font>
      <x:b/>
      <x:sz val="11"/>
      <x:color rgb="FF17111D"/>
      <x:name val="Carlito"/>
    </x:font>
    <x:font>
      <x:b/>
      <x:sz val="11"/>
      <x:color rgb="FFFFFFFF"/>
      <x:name val="Carlito"/>
    </x:font>
    <x:font>
      <x:i/>
      <x:sz val="11"/>
      <x:color rgb="FF202124"/>
      <x:name val="Carlito"/>
    </x:font>
    <x:font>
      <x:sz val="9"/>
      <x:color rgb="FF202124"/>
      <x:name val="Carlito"/>
    </x:font>
    <x:font>
      <x:b/>
      <x:sz val="9"/>
      <x:color rgb="FF202124"/>
      <x:name val="Carlito"/>
    </x:font>
    <x:font>
      <x:b/>
      <x:sz val="9"/>
      <x:color rgb="FFFFFFFF"/>
      <x:name val="Carlito"/>
    </x:font>
    <x:font>
      <x:b/>
      <x:sz val="14"/>
      <x:color rgb="FF17111D"/>
      <x:name val="Carlito"/>
    </x:font>
    <x:font>
      <x:b/>
      <x:sz val="14"/>
      <x:color rgb="FFFFFFFF"/>
      <x:name val="Carlito"/>
    </x:font>
    <x:font>
      <x:b/>
      <x:sz val="9"/>
      <x:color rgb="FF17111D"/>
      <x:name val="Carlito"/>
    </x:font>
    <x:font>
      <x:b/>
      <x:sz val="20"/>
      <x:color rgb="FF17111D"/>
      <x:name val="Carlito"/>
    </x:font>
    <x:font>
      <x:sz val="11"/>
      <x:color rgb="FF202124"/>
      <x:name val="Carlito"/>
    </x:font>
  </x:fonts>
  <x:fills count="16">
    <x:fill>
      <x:patternFill patternType="none"/>
    </x:fill>
    <x:fill>
      <x:patternFill patternType="gray125"/>
    </x:fill>
    <x:fill>
      <x:patternFill patternType="solid">
        <x:fgColor rgb="FF17111D"/>
      </x:patternFill>
    </x:fill>
    <x:fill>
      <x:patternFill patternType="solid">
        <x:fgColor rgb="FFC8F029"/>
      </x:patternFill>
    </x:fill>
    <x:fill>
      <x:patternFill patternType="solid">
        <x:fgColor rgb="FFA9C98F"/>
      </x:patternFill>
    </x:fill>
    <x:fill>
      <x:patternFill patternType="solid">
        <x:fgColor rgb="FF61AA8A"/>
      </x:patternFill>
    </x:fill>
    <x:fill>
      <x:patternFill patternType="solid">
        <x:fgColor rgb="FF124A82"/>
      </x:patternFill>
    </x:fill>
    <x:fill>
      <x:patternFill patternType="solid">
        <x:fgColor rgb="FFDCEFEA"/>
      </x:patternFill>
    </x:fill>
    <x:fill>
      <x:patternFill patternType="solid">
        <x:fgColor rgb="FFDBE7F5"/>
      </x:patternFill>
    </x:fill>
    <x:fill>
      <x:patternFill patternType="solid">
        <x:fgColor rgb="FFE6F0DD"/>
      </x:patternFill>
    </x:fill>
    <x:fill>
      <x:patternFill patternType="solid">
        <x:fgColor rgb="FFF5F7F6"/>
      </x:patternFill>
    </x:fill>
    <x:fill>
      <x:patternFill patternType="solid">
        <x:fgColor rgb="FFF0F8CA"/>
      </x:patternFill>
    </x:fill>
    <x:fill>
      <x:patternFill patternType="solid">
        <x:fgColor rgb="FFE6F0DD"/>
      </x:patternFill>
    </x:fill>
    <x:fill>
      <x:patternFill patternType="solid">
        <x:fgColor rgb="FFC8F029"/>
      </x:patternFill>
    </x:fill>
    <x:fill>
      <x:patternFill patternType="solid">
        <x:fgColor rgb="FFE6F0DD"/>
      </x:patternFill>
    </x:fill>
    <x:fill>
      <x:patternFill patternType="solid">
        <x:fgColor rgb="FFC8F029"/>
      </x:patternFill>
    </x:fill>
  </x:fills>
  <x:borders count="37">
    <x:border/>
    <x:border>
      <x:left style="thin">
        <x:color rgb="FF61AA8A"/>
      </x:left>
      <x:top style="thin">
        <x:color rgb="FF61AA8A"/>
      </x:top>
    </x:border>
    <x:border>
      <x:top style="thin">
        <x:color rgb="FF61AA8A"/>
      </x:top>
    </x:border>
    <x:border>
      <x:right style="thin">
        <x:color rgb="FF61AA8A"/>
      </x:right>
      <x:top style="thin">
        <x:color rgb="FF61AA8A"/>
      </x:top>
    </x:border>
    <x:border>
      <x:left style="thin">
        <x:color rgb="FF61AA8A"/>
      </x:left>
      <x:bottom style="thin">
        <x:color rgb="FF61AA8A"/>
      </x:bottom>
    </x:border>
    <x:border>
      <x:bottom style="thin">
        <x:color rgb="FF61AA8A"/>
      </x:bottom>
    </x:border>
    <x:border>
      <x:right style="thin">
        <x:color rgb="FF61AA8A"/>
      </x:right>
      <x:bottom style="thin">
        <x:color rgb="FF61AA8A"/>
      </x:bottom>
    </x:border>
    <x:border>
      <x:left style="thin">
        <x:color rgb="FF124A82"/>
      </x:left>
      <x:top style="thin">
        <x:color rgb="FF124A82"/>
      </x:top>
    </x:border>
    <x:border>
      <x:top style="thin">
        <x:color rgb="FF124A82"/>
      </x:top>
    </x:border>
    <x:border>
      <x:right style="thin">
        <x:color rgb="FF124A82"/>
      </x:right>
      <x:top style="thin">
        <x:color rgb="FF124A82"/>
      </x:top>
    </x:border>
    <x:border>
      <x:left style="thin">
        <x:color rgb="FF124A82"/>
      </x:left>
      <x:bottom style="thin">
        <x:color rgb="FF124A82"/>
      </x:bottom>
    </x:border>
    <x:border>
      <x:bottom style="thin">
        <x:color rgb="FF124A82"/>
      </x:bottom>
    </x:border>
    <x:border>
      <x:right style="thin">
        <x:color rgb="FF124A82"/>
      </x:right>
      <x:bottom style="thin">
        <x:color rgb="FF124A82"/>
      </x:bottom>
    </x:border>
    <x:border>
      <x:right style="thin">
        <x:color rgb="FFC8D6D0"/>
      </x:right>
    </x:border>
    <x:border>
      <x:left style="thin">
        <x:color rgb="FFC8D6D0"/>
      </x:left>
      <x:right style="thin">
        <x:color rgb="FFC8D6D0"/>
      </x:right>
    </x:border>
    <x:border>
      <x:left style="thin">
        <x:color rgb="FFC8D6D0"/>
      </x:left>
    </x:border>
    <x:border>
      <x:bottom style="thin">
        <x:color rgb="FFC8D6D0"/>
      </x:bottom>
    </x:border>
    <x:border>
      <x:top style="thin">
        <x:color rgb="FFC8D6D0"/>
      </x:top>
      <x:bottom style="thin">
        <x:color rgb="FFC8D6D0"/>
      </x:bottom>
    </x:border>
    <x:border>
      <x:top style="thin">
        <x:color rgb="FFC8D6D0"/>
      </x:top>
    </x:border>
    <x:border>
      <x:left style="thin">
        <x:color rgb="FFA9C98F"/>
      </x:left>
      <x:top style="thin">
        <x:color rgb="FFA9C98F"/>
      </x:top>
      <x:bottom style="thin">
        <x:color rgb="FFA9C98F"/>
      </x:bottom>
    </x:border>
    <x:border>
      <x:top style="thin">
        <x:color rgb="FFA9C98F"/>
      </x:top>
      <x:bottom style="thin">
        <x:color rgb="FFA9C98F"/>
      </x:bottom>
    </x:border>
    <x:border>
      <x:right style="thin">
        <x:color rgb="FFA9C98F"/>
      </x:right>
      <x:top style="thin">
        <x:color rgb="FFA9C98F"/>
      </x:top>
      <x:bottom style="thin">
        <x:color rgb="FFA9C98F"/>
      </x:bottom>
    </x:border>
    <x:border>
      <x:left style="thin">
        <x:color rgb="FFFFFFFF"/>
      </x:left>
      <x:right style="thin">
        <x:color rgb="FFFFFFFF"/>
      </x:right>
      <x:top style="thin">
        <x:color rgb="FFFFFFFF"/>
      </x:top>
      <x:bottom style="thin">
        <x:color rgb="FFFFFFFF"/>
      </x:bottom>
    </x:border>
    <x:border>
      <x:left style="thin">
        <x:color rgb="FFC8D6D0"/>
      </x:left>
      <x:top style="thin">
        <x:color rgb="FFC8D6D0"/>
      </x:top>
    </x:border>
    <x:border>
      <x:right style="thin">
        <x:color rgb="FFC8D6D0"/>
      </x:right>
      <x:top style="thin">
        <x:color rgb="FFC8D6D0"/>
      </x:top>
    </x:border>
    <x:border>
      <x:left style="thin">
        <x:color rgb="FFC8D6D0"/>
      </x:left>
      <x:bottom style="thin">
        <x:color rgb="FFC8D6D0"/>
      </x:bottom>
    </x:border>
    <x:border>
      <x:right style="thin">
        <x:color rgb="FFC8D6D0"/>
      </x:right>
      <x:bottom style="thin">
        <x:color rgb="FFC8D6D0"/>
      </x:bottom>
    </x:border>
    <x:border>
      <x:left style="thin">
        <x:color rgb="FF124A82"/>
      </x:left>
    </x:border>
    <x:border>
      <x:right style="thin">
        <x:color rgb="FF124A82"/>
      </x:right>
    </x:border>
    <x:border>
      <x:left style="thin">
        <x:color rgb="FFA9C98F"/>
      </x:left>
      <x:top style="thin">
        <x:color rgb="FFA9C98F"/>
      </x:top>
    </x:border>
    <x:border>
      <x:top style="thin">
        <x:color rgb="FFA9C98F"/>
      </x:top>
    </x:border>
    <x:border>
      <x:right style="thin">
        <x:color rgb="FFA9C98F"/>
      </x:right>
      <x:top style="thin">
        <x:color rgb="FFA9C98F"/>
      </x:top>
    </x:border>
    <x:border>
      <x:left style="thin">
        <x:color rgb="FFA9C98F"/>
      </x:left>
    </x:border>
    <x:border>
      <x:right style="thin">
        <x:color rgb="FFA9C98F"/>
      </x:right>
    </x:border>
    <x:border>
      <x:left style="thin">
        <x:color rgb="FFA9C98F"/>
      </x:left>
      <x:bottom style="thin">
        <x:color rgb="FFA9C98F"/>
      </x:bottom>
    </x:border>
    <x:border>
      <x:bottom style="thin">
        <x:color rgb="FFA9C98F"/>
      </x:bottom>
    </x:border>
    <x:border>
      <x:right style="thin">
        <x:color rgb="FFA9C98F"/>
      </x:right>
      <x:bottom style="thin">
        <x:color rgb="FFA9C98F"/>
      </x:bottom>
    </x:border>
  </x:borders>
  <x:cellStyleXfs count="1">
    <x:xf numFmtId="0" fontId="0" fillId="0" borderId="0"/>
  </x:cellStyleXfs>
  <x:cellXfs count="25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5" borderId="0" xfId="0" applyNumberFormat="1" applyFont="1" applyFill="1" applyBorder="1"/>
    <x:xf numFmtId="0" fontId="4" fillId="5" borderId="0" xfId="0" applyNumberFormat="1" applyFont="1" applyFill="1" applyBorder="1"/>
    <x:xf numFmtId="0" fontId="3" fillId="6" borderId="0" xfId="0" applyNumberFormat="1" applyFont="1" applyFill="1" applyBorder="1"/>
    <x:xf numFmtId="0" fontId="4" fillId="6" borderId="0" xfId="0" applyNumberFormat="1" applyFont="1" applyFill="1" applyBorder="1"/>
    <x:xf numFmtId="200" fontId="0" fillId="0" borderId="0"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5" fillId="7" borderId="1" xfId="0" applyNumberFormat="1" applyFont="1" applyFill="1" applyBorder="1"/>
    <x:xf numFmtId="0" fontId="5" fillId="7" borderId="2" xfId="0" applyNumberFormat="1" applyFont="1" applyFill="1" applyBorder="1"/>
    <x:xf numFmtId="0" fontId="5" fillId="7" borderId="3" xfId="0" applyNumberFormat="1" applyFont="1" applyFill="1" applyBorder="1"/>
    <x:xf numFmtId="0" fontId="5" fillId="7" borderId="4" xfId="0" applyNumberFormat="1" applyFont="1" applyFill="1" applyBorder="1"/>
    <x:xf numFmtId="0" fontId="5" fillId="7" borderId="5" xfId="0" applyNumberFormat="1" applyFont="1" applyFill="1" applyBorder="1"/>
    <x:xf numFmtId="0" fontId="5" fillId="7" borderId="6" xfId="0" applyNumberFormat="1" applyFont="1" applyFill="1" applyBorder="1"/>
    <x:xf numFmtId="0" fontId="5" fillId="7" borderId="1" xfId="0" applyNumberFormat="1" applyFont="1" applyFill="1" applyBorder="1" applyAlignment="1">
      <x:alignment wrapText="1"/>
    </x:xf>
    <x:xf numFmtId="0" fontId="5" fillId="7" borderId="2" xfId="0" applyNumberFormat="1" applyFont="1" applyFill="1" applyBorder="1" applyAlignment="1">
      <x:alignment wrapText="1"/>
    </x:xf>
    <x:xf numFmtId="0" fontId="5" fillId="7" borderId="3" xfId="0" applyNumberFormat="1" applyFont="1" applyFill="1" applyBorder="1" applyAlignment="1">
      <x:alignment wrapText="1"/>
    </x:xf>
    <x:xf numFmtId="0" fontId="5" fillId="7" borderId="4" xfId="0" applyNumberFormat="1" applyFont="1" applyFill="1" applyBorder="1" applyAlignment="1">
      <x:alignment wrapText="1"/>
    </x:xf>
    <x:xf numFmtId="0" fontId="5" fillId="7" borderId="5" xfId="0" applyNumberFormat="1" applyFont="1" applyFill="1" applyBorder="1" applyAlignment="1">
      <x:alignment wrapText="1"/>
    </x:xf>
    <x:xf numFmtId="0" fontId="5" fillId="7" borderId="6" xfId="0" applyNumberFormat="1" applyFont="1" applyFill="1" applyBorder="1" applyAlignment="1">
      <x:alignment wrapText="1"/>
    </x:xf>
    <x:xf numFmtId="0" fontId="5" fillId="7" borderId="1" xfId="0" applyNumberFormat="1" applyFont="1" applyFill="1" applyBorder="1" applyAlignment="1">
      <x:alignment vertical="center" wrapText="1"/>
    </x:xf>
    <x:xf numFmtId="0" fontId="5" fillId="7" borderId="2" xfId="0" applyNumberFormat="1" applyFont="1" applyFill="1" applyBorder="1" applyAlignment="1">
      <x:alignment vertical="center" wrapText="1"/>
    </x:xf>
    <x:xf numFmtId="0" fontId="5" fillId="7" borderId="3" xfId="0" applyNumberFormat="1" applyFont="1" applyFill="1" applyBorder="1" applyAlignment="1">
      <x:alignment vertical="center" wrapText="1"/>
    </x:xf>
    <x:xf numFmtId="0" fontId="5" fillId="7" borderId="4" xfId="0" applyNumberFormat="1" applyFont="1" applyFill="1" applyBorder="1" applyAlignment="1">
      <x:alignment vertical="center" wrapText="1"/>
    </x:xf>
    <x:xf numFmtId="0" fontId="5" fillId="7" borderId="5" xfId="0" applyNumberFormat="1" applyFont="1" applyFill="1" applyBorder="1" applyAlignment="1">
      <x:alignment vertical="center" wrapText="1"/>
    </x:xf>
    <x:xf numFmtId="0" fontId="5" fillId="7" borderId="6" xfId="0" applyNumberFormat="1" applyFont="1" applyFill="1" applyBorder="1" applyAlignment="1">
      <x:alignment vertical="center" wrapText="1"/>
    </x:xf>
    <x:xf numFmtId="0" fontId="0" fillId="8" borderId="0" xfId="0" applyNumberFormat="1" applyFont="1" applyFill="1" applyBorder="1"/>
    <x:xf numFmtId="0" fontId="5" fillId="8" borderId="0" xfId="0" applyNumberFormat="1" applyFont="1" applyFill="1" applyBorder="1"/>
    <x:xf numFmtId="0" fontId="5" fillId="8" borderId="7" xfId="0" applyNumberFormat="1" applyFont="1" applyFill="1" applyBorder="1"/>
    <x:xf numFmtId="0" fontId="5" fillId="8" borderId="8" xfId="0" applyNumberFormat="1" applyFont="1" applyFill="1" applyBorder="1"/>
    <x:xf numFmtId="0" fontId="5" fillId="8" borderId="9" xfId="0" applyNumberFormat="1" applyFont="1" applyFill="1" applyBorder="1"/>
    <x:xf numFmtId="0" fontId="5" fillId="8" borderId="10" xfId="0" applyNumberFormat="1" applyFont="1" applyFill="1" applyBorder="1"/>
    <x:xf numFmtId="0" fontId="5" fillId="8" borderId="11" xfId="0" applyNumberFormat="1" applyFont="1" applyFill="1" applyBorder="1"/>
    <x:xf numFmtId="0" fontId="5" fillId="8" borderId="12" xfId="0" applyNumberFormat="1" applyFont="1" applyFill="1" applyBorder="1"/>
    <x:xf numFmtId="0" fontId="5" fillId="8" borderId="7" xfId="0" applyNumberFormat="1" applyFont="1" applyFill="1" applyBorder="1" applyAlignment="1">
      <x:alignment wrapText="1"/>
    </x:xf>
    <x:xf numFmtId="0" fontId="5" fillId="8" borderId="8" xfId="0" applyNumberFormat="1" applyFont="1" applyFill="1" applyBorder="1" applyAlignment="1">
      <x:alignment wrapText="1"/>
    </x:xf>
    <x:xf numFmtId="0" fontId="5" fillId="8" borderId="9" xfId="0" applyNumberFormat="1" applyFont="1" applyFill="1" applyBorder="1" applyAlignment="1">
      <x:alignment wrapText="1"/>
    </x:xf>
    <x:xf numFmtId="0" fontId="5" fillId="8" borderId="10" xfId="0" applyNumberFormat="1" applyFont="1" applyFill="1" applyBorder="1" applyAlignment="1">
      <x:alignment wrapText="1"/>
    </x:xf>
    <x:xf numFmtId="0" fontId="5" fillId="8" borderId="11" xfId="0" applyNumberFormat="1" applyFont="1" applyFill="1" applyBorder="1" applyAlignment="1">
      <x:alignment wrapText="1"/>
    </x:xf>
    <x:xf numFmtId="0" fontId="5" fillId="8" borderId="12" xfId="0" applyNumberFormat="1" applyFont="1" applyFill="1" applyBorder="1" applyAlignment="1">
      <x:alignment wrapText="1"/>
    </x:xf>
    <x:xf numFmtId="0" fontId="5" fillId="8" borderId="7" xfId="0" applyNumberFormat="1" applyFont="1" applyFill="1" applyBorder="1" applyAlignment="1">
      <x:alignment vertical="center" wrapText="1"/>
    </x:xf>
    <x:xf numFmtId="0" fontId="5" fillId="8" borderId="8" xfId="0" applyNumberFormat="1" applyFont="1" applyFill="1" applyBorder="1" applyAlignment="1">
      <x:alignment vertical="center" wrapText="1"/>
    </x:xf>
    <x:xf numFmtId="0" fontId="5" fillId="8" borderId="9" xfId="0" applyNumberFormat="1" applyFont="1" applyFill="1" applyBorder="1" applyAlignment="1">
      <x:alignment vertical="center" wrapText="1"/>
    </x:xf>
    <x:xf numFmtId="0" fontId="5" fillId="8" borderId="10" xfId="0" applyNumberFormat="1" applyFont="1" applyFill="1" applyBorder="1" applyAlignment="1">
      <x:alignment vertical="center" wrapText="1"/>
    </x:xf>
    <x:xf numFmtId="0" fontId="5" fillId="8" borderId="11" xfId="0" applyNumberFormat="1" applyFont="1" applyFill="1" applyBorder="1" applyAlignment="1">
      <x:alignment vertical="center" wrapText="1"/>
    </x:xf>
    <x:xf numFmtId="0" fontId="5" fillId="8" borderId="12" xfId="0" applyNumberFormat="1" applyFont="1" applyFill="1" applyBorder="1" applyAlignment="1">
      <x:alignment vertical="center" wrapText="1"/>
    </x:xf>
    <x:xf numFmtId="0" fontId="0" fillId="6" borderId="0" xfId="0" applyNumberFormat="1" applyFont="1" applyFill="1" applyBorder="1"/>
    <x:xf numFmtId="0" fontId="4" fillId="6" borderId="13" xfId="0" applyNumberFormat="1" applyFont="1" applyFill="1" applyBorder="1"/>
    <x:xf numFmtId="0" fontId="4" fillId="6" borderId="14" xfId="0" applyNumberFormat="1" applyFont="1" applyFill="1" applyBorder="1"/>
    <x:xf numFmtId="0" fontId="4" fillId="6" borderId="15" xfId="0" applyNumberFormat="1" applyFont="1" applyFill="1" applyBorder="1"/>
    <x:xf numFmtId="0" fontId="4" fillId="6" borderId="13" xfId="0" applyNumberFormat="1" applyFont="1" applyFill="1" applyBorder="1" applyAlignment="1">
      <x:alignment wrapText="1"/>
    </x:xf>
    <x:xf numFmtId="0" fontId="4" fillId="6" borderId="14" xfId="0" applyNumberFormat="1" applyFont="1" applyFill="1" applyBorder="1" applyAlignment="1">
      <x:alignment wrapText="1"/>
    </x:xf>
    <x:xf numFmtId="0" fontId="4" fillId="6" borderId="15" xfId="0" applyNumberFormat="1" applyFont="1" applyFill="1" applyBorder="1" applyAlignment="1">
      <x:alignment wrapText="1"/>
    </x:xf>
    <x:xf numFmtId="0" fontId="4" fillId="6" borderId="13" xfId="0" applyNumberFormat="1" applyFont="1" applyFill="1" applyBorder="1" applyAlignment="1">
      <x:alignment vertical="center" wrapText="1"/>
    </x:xf>
    <x:xf numFmtId="0" fontId="4" fillId="6" borderId="14" xfId="0" applyNumberFormat="1" applyFont="1" applyFill="1" applyBorder="1" applyAlignment="1">
      <x:alignment vertical="center" wrapText="1"/>
    </x:xf>
    <x:xf numFmtId="0" fontId="4" fillId="6" borderId="15" xfId="0" applyNumberFormat="1" applyFont="1" applyFill="1" applyBorder="1" applyAlignment="1">
      <x:alignment vertical="center" wrapText="1"/>
    </x:xf>
    <x:xf numFmtId="0" fontId="6" fillId="0" borderId="0" xfId="0" applyNumberFormat="1" applyFont="1" applyFill="1" applyBorder="1"/>
    <x:xf numFmtId="0" fontId="6" fillId="0" borderId="16" xfId="0" applyNumberFormat="1" applyFont="1" applyFill="1" applyBorder="1"/>
    <x:xf numFmtId="0" fontId="6" fillId="0" borderId="17" xfId="0" applyNumberFormat="1" applyFont="1" applyFill="1" applyBorder="1"/>
    <x:xf numFmtId="0" fontId="6" fillId="0" borderId="18" xfId="0" applyNumberFormat="1" applyFont="1" applyFill="1" applyBorder="1"/>
    <x:xf numFmtId="0" fontId="6" fillId="0" borderId="16" xfId="0" applyNumberFormat="1" applyFont="1" applyFill="1" applyBorder="1" applyAlignment="1">
      <x:alignment wrapText="1"/>
    </x:xf>
    <x:xf numFmtId="0" fontId="6" fillId="0" borderId="17" xfId="0" applyNumberFormat="1" applyFont="1" applyFill="1" applyBorder="1" applyAlignment="1">
      <x:alignment wrapText="1"/>
    </x:xf>
    <x:xf numFmtId="0" fontId="6" fillId="0" borderId="18" xfId="0" applyNumberFormat="1" applyFont="1" applyFill="1" applyBorder="1" applyAlignment="1">
      <x:alignment wrapText="1"/>
    </x:xf>
    <x:xf numFmtId="0" fontId="6" fillId="0" borderId="16" xfId="0" applyNumberFormat="1" applyFont="1" applyFill="1" applyBorder="1" applyAlignment="1">
      <x:alignment vertical="top" wrapText="1"/>
    </x:xf>
    <x:xf numFmtId="0" fontId="6" fillId="0" borderId="17" xfId="0" applyNumberFormat="1" applyFont="1" applyFill="1" applyBorder="1" applyAlignment="1">
      <x:alignment vertical="top" wrapText="1"/>
    </x:xf>
    <x:xf numFmtId="0" fontId="6" fillId="0" borderId="18" xfId="0" applyNumberFormat="1" applyFont="1" applyFill="1" applyBorder="1" applyAlignment="1">
      <x:alignment vertical="top" wrapText="1"/>
    </x:xf>
    <x:xf numFmtId="200" fontId="6" fillId="0" borderId="16" xfId="0" applyNumberFormat="1" applyFont="1" applyFill="1" applyBorder="1" applyAlignment="1">
      <x:alignment vertical="top" wrapText="1"/>
    </x:xf>
    <x:xf numFmtId="200" fontId="6" fillId="0" borderId="17" xfId="0" applyNumberFormat="1" applyFont="1" applyFill="1" applyBorder="1" applyAlignment="1">
      <x:alignment vertical="top" wrapText="1"/>
    </x:xf>
    <x:xf numFmtId="200" fontId="6" fillId="0" borderId="18" xfId="0" applyNumberFormat="1" applyFont="1" applyFill="1" applyBorder="1" applyAlignment="1">
      <x:alignment vertical="top" wrapText="1"/>
    </x:xf>
    <x:xf numFmtId="0" fontId="0" fillId="5" borderId="0" xfId="0" applyNumberFormat="1" applyFont="1" applyFill="1" applyBorder="1"/>
    <x:xf numFmtId="0" fontId="4" fillId="5" borderId="13"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3" xfId="0" applyNumberFormat="1" applyFont="1" applyFill="1" applyBorder="1" applyAlignment="1">
      <x:alignment wrapText="1"/>
    </x:xf>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3" xfId="0" applyNumberFormat="1" applyFont="1" applyFill="1" applyBorder="1" applyAlignment="1">
      <x:alignment vertical="center" wrapText="1"/>
    </x:xf>
    <x:xf numFmtId="0" fontId="4" fillId="5" borderId="14" xfId="0" applyNumberFormat="1" applyFont="1" applyFill="1" applyBorder="1" applyAlignment="1">
      <x:alignment vertical="center" wrapText="1"/>
    </x:xf>
    <x:xf numFmtId="0" fontId="4" fillId="5" borderId="15" xfId="0" applyNumberFormat="1" applyFont="1" applyFill="1" applyBorder="1" applyAlignment="1">
      <x:alignment vertical="center" wrapText="1"/>
    </x:xf>
    <x:xf numFmtId="0" fontId="3" fillId="4" borderId="13"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3" xfId="0" applyNumberFormat="1" applyFont="1" applyFill="1" applyBorder="1" applyAlignment="1">
      <x:alignment wrapText="1"/>
    </x:xf>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3" xfId="0" applyNumberFormat="1" applyFont="1" applyFill="1" applyBorder="1" applyAlignment="1">
      <x:alignment vertical="center"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7" fillId="0" borderId="16" xfId="0" applyNumberFormat="1" applyFont="1" applyFill="1" applyBorder="1" applyAlignment="1">
      <x:alignment vertical="top" wrapText="1"/>
    </x:xf>
    <x:xf numFmtId="0" fontId="7" fillId="0" borderId="17"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3" borderId="16" xfId="0" applyNumberFormat="1" applyFont="1" applyFill="1" applyBorder="1" applyAlignment="1">
      <x:alignment vertical="top" wrapText="1"/>
    </x:xf>
    <x:xf numFmtId="0" fontId="7" fillId="5" borderId="17" xfId="0" applyNumberFormat="1" applyFont="1" applyFill="1" applyBorder="1" applyAlignment="1">
      <x:alignment vertical="top" wrapText="1"/>
    </x:xf>
    <x:xf numFmtId="0" fontId="7" fillId="6" borderId="17" xfId="0" applyNumberFormat="1" applyFont="1" applyFill="1" applyBorder="1" applyAlignment="1">
      <x:alignment vertical="top" wrapText="1"/>
    </x:xf>
    <x:xf numFmtId="0" fontId="8" fillId="6" borderId="17" xfId="0" applyNumberFormat="1" applyFont="1" applyFill="1" applyBorder="1" applyAlignment="1">
      <x:alignment vertical="top" wrapText="1"/>
    </x:xf>
    <x:xf numFmtId="0" fontId="7" fillId="2" borderId="18" xfId="0" applyNumberFormat="1" applyFont="1" applyFill="1" applyBorder="1" applyAlignment="1">
      <x:alignment vertical="top" wrapText="1"/>
    </x:xf>
    <x:xf numFmtId="0" fontId="8" fillId="2" borderId="18" xfId="0" applyNumberFormat="1" applyFont="1" applyFill="1" applyBorder="1" applyAlignment="1">
      <x:alignment vertical="top" wrapText="1"/>
    </x:xf>
    <x:xf numFmtId="0" fontId="4" fillId="2" borderId="0" xfId="0" applyNumberFormat="1" applyFont="1" applyFill="1" applyBorder="1"/>
    <x:xf numFmtId="0" fontId="4" fillId="2" borderId="13" xfId="0" applyNumberFormat="1" applyFont="1" applyFill="1" applyBorder="1"/>
    <x:xf numFmtId="0" fontId="4" fillId="2" borderId="14" xfId="0" applyNumberFormat="1" applyFont="1" applyFill="1" applyBorder="1"/>
    <x:xf numFmtId="0" fontId="4" fillId="2" borderId="15" xfId="0" applyNumberFormat="1" applyFont="1" applyFill="1" applyBorder="1"/>
    <x:xf numFmtId="0" fontId="4" fillId="2" borderId="13" xfId="0" applyNumberFormat="1" applyFont="1" applyFill="1" applyBorder="1" applyAlignment="1">
      <x:alignment wrapText="1"/>
    </x:xf>
    <x:xf numFmtId="0" fontId="4" fillId="2" borderId="14" xfId="0" applyNumberFormat="1" applyFont="1" applyFill="1" applyBorder="1" applyAlignment="1">
      <x:alignment wrapText="1"/>
    </x:xf>
    <x:xf numFmtId="0" fontId="4" fillId="2" borderId="15" xfId="0" applyNumberFormat="1" applyFont="1" applyFill="1" applyBorder="1" applyAlignment="1">
      <x:alignment wrapText="1"/>
    </x:xf>
    <x:xf numFmtId="0" fontId="4" fillId="2" borderId="13" xfId="0" applyNumberFormat="1" applyFont="1" applyFill="1" applyBorder="1" applyAlignment="1">
      <x:alignment vertical="center" wrapText="1"/>
    </x:xf>
    <x:xf numFmtId="0" fontId="4" fillId="2" borderId="14" xfId="0" applyNumberFormat="1" applyFont="1" applyFill="1" applyBorder="1" applyAlignment="1">
      <x:alignment vertical="center" wrapText="1"/>
    </x:xf>
    <x:xf numFmtId="0" fontId="4" fillId="2" borderId="15" xfId="0" applyNumberFormat="1" applyFont="1" applyFill="1" applyBorder="1" applyAlignment="1">
      <x:alignment vertical="center" wrapText="1"/>
    </x:xf>
    <x:xf numFmtId="0" fontId="0" fillId="9" borderId="0" xfId="0" applyNumberFormat="1" applyFont="1" applyFill="1" applyBorder="1"/>
    <x:xf numFmtId="0" fontId="5" fillId="9" borderId="0" xfId="0" applyNumberFormat="1" applyFont="1" applyFill="1" applyBorder="1"/>
    <x:xf numFmtId="0" fontId="5" fillId="9" borderId="19" xfId="0" applyNumberFormat="1" applyFont="1" applyFill="1" applyBorder="1"/>
    <x:xf numFmtId="0" fontId="5" fillId="9" borderId="20" xfId="0" applyNumberFormat="1" applyFont="1" applyFill="1" applyBorder="1"/>
    <x:xf numFmtId="0" fontId="5" fillId="9" borderId="21" xfId="0" applyNumberFormat="1" applyFont="1" applyFill="1" applyBorder="1"/>
    <x:xf numFmtId="0" fontId="5" fillId="9" borderId="19" xfId="0" applyNumberFormat="1" applyFont="1" applyFill="1" applyBorder="1" applyAlignment="1">
      <x:alignment wrapText="1"/>
    </x:xf>
    <x:xf numFmtId="0" fontId="5" fillId="9" borderId="20" xfId="0" applyNumberFormat="1" applyFont="1" applyFill="1" applyBorder="1" applyAlignment="1">
      <x:alignment wrapText="1"/>
    </x:xf>
    <x:xf numFmtId="0" fontId="5" fillId="9" borderId="21" xfId="0" applyNumberFormat="1" applyFont="1" applyFill="1" applyBorder="1" applyAlignment="1">
      <x:alignment wrapText="1"/>
    </x:xf>
    <x:xf numFmtId="0" fontId="4" fillId="6" borderId="16" xfId="0" applyNumberFormat="1" applyFont="1" applyFill="1" applyBorder="1"/>
    <x:xf numFmtId="0" fontId="4" fillId="6" borderId="17" xfId="0" applyNumberFormat="1" applyFont="1" applyFill="1" applyBorder="1"/>
    <x:xf numFmtId="0" fontId="4" fillId="6" borderId="18" xfId="0" applyNumberFormat="1" applyFont="1" applyFill="1" applyBorder="1"/>
    <x:xf numFmtId="0" fontId="4" fillId="6" borderId="16" xfId="0" applyNumberFormat="1" applyFont="1" applyFill="1" applyBorder="1" applyAlignment="1">
      <x:alignment wrapText="1"/>
    </x:xf>
    <x:xf numFmtId="0" fontId="4" fillId="6" borderId="17" xfId="0" applyNumberFormat="1" applyFont="1" applyFill="1" applyBorder="1" applyAlignment="1">
      <x:alignment wrapText="1"/>
    </x:xf>
    <x:xf numFmtId="0" fontId="4" fillId="6" borderId="18" xfId="0" applyNumberFormat="1" applyFont="1" applyFill="1" applyBorder="1" applyAlignment="1">
      <x:alignment wrapText="1"/>
    </x:xf>
    <x:xf numFmtId="0" fontId="4" fillId="6" borderId="16" xfId="0" applyNumberFormat="1" applyFont="1" applyFill="1" applyBorder="1" applyAlignment="1">
      <x:alignment vertical="center" wrapText="1"/>
    </x:xf>
    <x:xf numFmtId="0" fontId="4" fillId="6" borderId="17" xfId="0" applyNumberFormat="1" applyFont="1" applyFill="1" applyBorder="1" applyAlignment="1">
      <x:alignment vertical="center" wrapText="1"/>
    </x:xf>
    <x:xf numFmtId="0" fontId="4" fillId="6" borderId="18" xfId="0" applyNumberFormat="1" applyFont="1" applyFill="1" applyBorder="1" applyAlignment="1">
      <x:alignment vertical="center" wrapText="1"/>
    </x:xf>
    <x:xf numFmtId="0" fontId="9" fillId="5" borderId="0" xfId="0" applyNumberFormat="1" applyFont="1" applyFill="1" applyBorder="1"/>
    <x:xf numFmtId="0" fontId="9" fillId="5" borderId="22" xfId="0" applyNumberFormat="1" applyFont="1" applyFill="1" applyBorder="1"/>
    <x:xf numFmtId="0" fontId="9" fillId="5" borderId="22" xfId="0" applyNumberFormat="1" applyFont="1" applyFill="1" applyBorder="1" applyAlignment="1">
      <x:alignment horizontal="center"/>
    </x:xf>
    <x:xf numFmtId="0" fontId="9" fillId="5" borderId="22" xfId="0" applyNumberFormat="1" applyFont="1" applyFill="1" applyBorder="1" applyAlignment="1">
      <x:alignment horizontal="center" vertical="center"/>
    </x:xf>
    <x:xf numFmtId="0" fontId="10" fillId="6" borderId="0" xfId="0" applyNumberFormat="1" applyFont="1" applyFill="1" applyBorder="1"/>
    <x:xf numFmtId="0" fontId="10" fillId="6" borderId="22" xfId="0" applyNumberFormat="1" applyFont="1" applyFill="1" applyBorder="1"/>
    <x:xf numFmtId="0" fontId="10" fillId="6" borderId="22" xfId="0" applyNumberFormat="1" applyFont="1" applyFill="1" applyBorder="1" applyAlignment="1">
      <x:alignment horizontal="center"/>
    </x:xf>
    <x:xf numFmtId="0" fontId="10" fillId="6" borderId="22" xfId="0" applyNumberFormat="1" applyFont="1" applyFill="1" applyBorder="1" applyAlignment="1">
      <x:alignment horizontal="center" vertical="center"/>
    </x:xf>
    <x:xf numFmtId="0" fontId="10" fillId="2" borderId="0" xfId="0" applyNumberFormat="1" applyFont="1" applyFill="1" applyBorder="1"/>
    <x:xf numFmtId="0" fontId="10" fillId="2" borderId="22" xfId="0" applyNumberFormat="1" applyFont="1" applyFill="1" applyBorder="1"/>
    <x:xf numFmtId="0" fontId="10" fillId="2" borderId="22" xfId="0" applyNumberFormat="1" applyFont="1" applyFill="1" applyBorder="1" applyAlignment="1">
      <x:alignment horizontal="center"/>
    </x:xf>
    <x:xf numFmtId="0" fontId="10" fillId="2" borderId="22" xfId="0" applyNumberFormat="1" applyFont="1" applyFill="1" applyBorder="1" applyAlignment="1">
      <x:alignment horizontal="center" vertical="center"/>
    </x:xf>
    <x:xf numFmtId="0" fontId="9" fillId="3" borderId="0" xfId="0" applyNumberFormat="1" applyFont="1" applyFill="1" applyBorder="1"/>
    <x:xf numFmtId="0" fontId="9" fillId="3" borderId="22" xfId="0" applyNumberFormat="1" applyFont="1" applyFill="1" applyBorder="1"/>
    <x:xf numFmtId="0" fontId="9" fillId="3" borderId="22" xfId="0" applyNumberFormat="1" applyFont="1" applyFill="1" applyBorder="1" applyAlignment="1">
      <x:alignment horizontal="center"/>
    </x:xf>
    <x:xf numFmtId="0" fontId="9" fillId="3" borderId="22" xfId="0" applyNumberFormat="1" applyFont="1" applyFill="1" applyBorder="1" applyAlignment="1">
      <x:alignment horizontal="center" vertical="center"/>
    </x:xf>
    <x:xf numFmtId="0" fontId="6" fillId="3" borderId="16" xfId="0" applyNumberFormat="1" applyFont="1" applyFill="1" applyBorder="1" applyAlignment="1">
      <x:alignment vertical="top" wrapText="1"/>
    </x:xf>
    <x:xf numFmtId="0" fontId="11" fillId="3" borderId="16" xfId="0" applyNumberFormat="1" applyFont="1" applyFill="1" applyBorder="1" applyAlignment="1">
      <x:alignment vertical="top" wrapText="1"/>
    </x:xf>
    <x:xf numFmtId="0" fontId="6" fillId="5" borderId="17" xfId="0" applyNumberFormat="1" applyFont="1" applyFill="1" applyBorder="1" applyAlignment="1">
      <x:alignment vertical="top" wrapText="1"/>
    </x:xf>
    <x:xf numFmtId="0" fontId="8" fillId="5" borderId="17" xfId="0" applyNumberFormat="1" applyFont="1" applyFill="1" applyBorder="1" applyAlignment="1">
      <x:alignment vertical="top" wrapText="1"/>
    </x:xf>
    <x:xf numFmtId="0" fontId="6" fillId="6" borderId="17" xfId="0" applyNumberFormat="1" applyFont="1" applyFill="1" applyBorder="1" applyAlignment="1">
      <x:alignment vertical="top" wrapText="1"/>
    </x:xf>
    <x:xf numFmtId="0" fontId="6" fillId="2" borderId="18" xfId="0" applyNumberFormat="1" applyFont="1" applyFill="1" applyBorder="1" applyAlignment="1">
      <x:alignment vertical="top" wrapText="1"/>
    </x:xf>
    <x:xf numFmtId="201" fontId="6" fillId="0" borderId="16" xfId="0" applyNumberFormat="1" applyFont="1" applyFill="1" applyBorder="1" applyAlignment="1">
      <x:alignment vertical="top" wrapText="1"/>
    </x:xf>
    <x:xf numFmtId="201" fontId="6" fillId="0" borderId="17" xfId="0" applyNumberFormat="1" applyFont="1" applyFill="1" applyBorder="1" applyAlignment="1">
      <x:alignment vertical="top" wrapText="1"/>
    </x:xf>
    <x:xf numFmtId="201" fontId="6" fillId="0" borderId="18" xfId="0" applyNumberFormat="1" applyFont="1" applyFill="1" applyBorder="1" applyAlignment="1">
      <x:alignment vertical="top" wrapText="1"/>
    </x:xf>
    <x:xf numFmtId="0" fontId="3" fillId="3" borderId="0" xfId="0" applyNumberFormat="1" applyFont="1" applyFill="1" applyBorder="1"/>
    <x:xf numFmtId="0" fontId="3" fillId="3" borderId="13" xfId="0" applyNumberFormat="1" applyFont="1" applyFill="1" applyBorder="1"/>
    <x:xf numFmtId="0" fontId="3" fillId="3" borderId="15" xfId="0" applyNumberFormat="1" applyFont="1" applyFill="1" applyBorder="1"/>
    <x:xf numFmtId="0" fontId="3" fillId="3" borderId="13" xfId="0" applyNumberFormat="1" applyFont="1" applyFill="1" applyBorder="1" applyAlignment="1">
      <x:alignment wrapText="1"/>
    </x:xf>
    <x:xf numFmtId="0" fontId="3" fillId="3" borderId="15" xfId="0" applyNumberFormat="1" applyFont="1" applyFill="1" applyBorder="1" applyAlignment="1">
      <x:alignment wrapText="1"/>
    </x:xf>
    <x:xf numFmtId="0" fontId="3" fillId="3" borderId="13" xfId="0" applyNumberFormat="1" applyFont="1" applyFill="1" applyBorder="1" applyAlignment="1">
      <x:alignment vertical="center" wrapText="1"/>
    </x:xf>
    <x:xf numFmtId="0" fontId="3" fillId="3" borderId="15" xfId="0" applyNumberFormat="1" applyFont="1" applyFill="1" applyBorder="1" applyAlignment="1">
      <x:alignment vertical="center" wrapText="1"/>
    </x:xf>
    <x:xf numFmtId="0" fontId="0" fillId="10" borderId="0" xfId="0" applyNumberFormat="1" applyFont="1" applyFill="1" applyBorder="1"/>
    <x:xf numFmtId="0" fontId="12" fillId="10" borderId="0" xfId="0" applyNumberFormat="1" applyFont="1" applyFill="1" applyBorder="1"/>
    <x:xf numFmtId="0" fontId="12" fillId="10" borderId="23" xfId="0" applyNumberFormat="1" applyFont="1" applyFill="1" applyBorder="1"/>
    <x:xf numFmtId="0" fontId="12" fillId="10" borderId="24" xfId="0" applyNumberFormat="1" applyFont="1" applyFill="1" applyBorder="1"/>
    <x:xf numFmtId="0" fontId="12" fillId="10" borderId="25" xfId="0" applyNumberFormat="1" applyFont="1" applyFill="1" applyBorder="1"/>
    <x:xf numFmtId="0" fontId="12" fillId="10" borderId="26" xfId="0" applyNumberFormat="1" applyFont="1" applyFill="1" applyBorder="1"/>
    <x:xf numFmtId="0" fontId="12" fillId="10" borderId="23" xfId="0" applyNumberFormat="1" applyFont="1" applyFill="1" applyBorder="1" applyAlignment="1">
      <x:alignment horizontal="center"/>
    </x:xf>
    <x:xf numFmtId="0" fontId="12" fillId="10" borderId="24" xfId="0" applyNumberFormat="1" applyFont="1" applyFill="1" applyBorder="1" applyAlignment="1">
      <x:alignment horizontal="center"/>
    </x:xf>
    <x:xf numFmtId="0" fontId="12" fillId="10" borderId="25" xfId="0" applyNumberFormat="1" applyFont="1" applyFill="1" applyBorder="1" applyAlignment="1">
      <x:alignment horizontal="center"/>
    </x:xf>
    <x:xf numFmtId="0" fontId="12" fillId="10" borderId="26" xfId="0" applyNumberFormat="1" applyFont="1" applyFill="1" applyBorder="1" applyAlignment="1">
      <x:alignment horizontal="center"/>
    </x:xf>
    <x:xf numFmtId="0" fontId="12" fillId="10" borderId="23" xfId="0" applyNumberFormat="1" applyFont="1" applyFill="1" applyBorder="1" applyAlignment="1">
      <x:alignment horizontal="center" vertical="center"/>
    </x:xf>
    <x:xf numFmtId="0" fontId="12" fillId="10" borderId="24" xfId="0" applyNumberFormat="1" applyFont="1" applyFill="1" applyBorder="1" applyAlignment="1">
      <x:alignment horizontal="center" vertical="center"/>
    </x:xf>
    <x:xf numFmtId="0" fontId="12" fillId="10" borderId="25" xfId="0" applyNumberFormat="1" applyFont="1" applyFill="1" applyBorder="1" applyAlignment="1">
      <x:alignment horizontal="center" vertical="center"/>
    </x:xf>
    <x:xf numFmtId="0" fontId="12" fillId="10" borderId="26" xfId="0" applyNumberFormat="1" applyFont="1" applyFill="1" applyBorder="1" applyAlignment="1">
      <x:alignment horizontal="center" vertical="center"/>
    </x:xf>
    <x:xf numFmtId="0" fontId="13" fillId="8" borderId="0" xfId="0" applyNumberFormat="1" applyFont="1" applyFill="1" applyBorder="1"/>
    <x:xf numFmtId="0" fontId="13" fillId="8" borderId="7" xfId="0" applyNumberFormat="1" applyFont="1" applyFill="1" applyBorder="1"/>
    <x:xf numFmtId="0" fontId="13" fillId="8" borderId="8" xfId="0" applyNumberFormat="1" applyFont="1" applyFill="1" applyBorder="1"/>
    <x:xf numFmtId="0" fontId="13" fillId="8" borderId="9" xfId="0" applyNumberFormat="1" applyFont="1" applyFill="1" applyBorder="1"/>
    <x:xf numFmtId="0" fontId="13" fillId="8" borderId="27" xfId="0" applyNumberFormat="1" applyFont="1" applyFill="1" applyBorder="1"/>
    <x:xf numFmtId="0" fontId="13" fillId="8" borderId="28" xfId="0" applyNumberFormat="1" applyFont="1" applyFill="1" applyBorder="1"/>
    <x:xf numFmtId="0" fontId="13" fillId="8" borderId="10" xfId="0" applyNumberFormat="1" applyFont="1" applyFill="1" applyBorder="1"/>
    <x:xf numFmtId="0" fontId="13" fillId="8" borderId="11" xfId="0" applyNumberFormat="1" applyFont="1" applyFill="1" applyBorder="1"/>
    <x:xf numFmtId="0" fontId="13" fillId="8" borderId="12" xfId="0" applyNumberFormat="1" applyFont="1" applyFill="1" applyBorder="1"/>
    <x:xf numFmtId="0" fontId="13" fillId="8" borderId="7" xfId="0" applyNumberFormat="1" applyFont="1" applyFill="1" applyBorder="1" applyAlignment="1">
      <x:alignment wrapText="1"/>
    </x:xf>
    <x:xf numFmtId="0" fontId="13" fillId="8" borderId="8" xfId="0" applyNumberFormat="1" applyFont="1" applyFill="1" applyBorder="1" applyAlignment="1">
      <x:alignment wrapText="1"/>
    </x:xf>
    <x:xf numFmtId="0" fontId="13" fillId="8" borderId="9" xfId="0" applyNumberFormat="1" applyFont="1" applyFill="1" applyBorder="1" applyAlignment="1">
      <x:alignment wrapText="1"/>
    </x:xf>
    <x:xf numFmtId="0" fontId="13" fillId="8" borderId="27" xfId="0" applyNumberFormat="1" applyFont="1" applyFill="1" applyBorder="1" applyAlignment="1">
      <x:alignment wrapText="1"/>
    </x:xf>
    <x:xf numFmtId="0" fontId="13" fillId="8" borderId="0" xfId="0" applyNumberFormat="1" applyFont="1" applyFill="1" applyBorder="1" applyAlignment="1">
      <x:alignment wrapText="1"/>
    </x:xf>
    <x:xf numFmtId="0" fontId="13" fillId="8" borderId="28" xfId="0" applyNumberFormat="1" applyFont="1" applyFill="1" applyBorder="1" applyAlignment="1">
      <x:alignment wrapText="1"/>
    </x:xf>
    <x:xf numFmtId="0" fontId="13" fillId="8" borderId="10" xfId="0" applyNumberFormat="1" applyFont="1" applyFill="1" applyBorder="1" applyAlignment="1">
      <x:alignment wrapText="1"/>
    </x:xf>
    <x:xf numFmtId="0" fontId="13" fillId="8" borderId="11" xfId="0" applyNumberFormat="1" applyFont="1" applyFill="1" applyBorder="1" applyAlignment="1">
      <x:alignment wrapText="1"/>
    </x:xf>
    <x:xf numFmtId="0" fontId="13" fillId="8" borderId="12" xfId="0" applyNumberFormat="1" applyFont="1" applyFill="1" applyBorder="1" applyAlignment="1">
      <x:alignment wrapText="1"/>
    </x:xf>
    <x:xf numFmtId="0" fontId="13" fillId="8" borderId="7" xfId="0" applyNumberFormat="1" applyFont="1" applyFill="1" applyBorder="1" applyAlignment="1">
      <x:alignment vertical="center" wrapText="1"/>
    </x:xf>
    <x:xf numFmtId="0" fontId="13" fillId="8" borderId="8" xfId="0" applyNumberFormat="1" applyFont="1" applyFill="1" applyBorder="1" applyAlignment="1">
      <x:alignment vertical="center" wrapText="1"/>
    </x:xf>
    <x:xf numFmtId="0" fontId="13" fillId="8" borderId="9" xfId="0" applyNumberFormat="1" applyFont="1" applyFill="1" applyBorder="1" applyAlignment="1">
      <x:alignment vertical="center" wrapText="1"/>
    </x:xf>
    <x:xf numFmtId="0" fontId="13" fillId="8" borderId="27" xfId="0" applyNumberFormat="1" applyFont="1" applyFill="1" applyBorder="1" applyAlignment="1">
      <x:alignment vertical="center" wrapText="1"/>
    </x:xf>
    <x:xf numFmtId="0" fontId="13" fillId="8" borderId="0" xfId="0" applyNumberFormat="1" applyFont="1" applyFill="1" applyBorder="1" applyAlignment="1">
      <x:alignment vertical="center" wrapText="1"/>
    </x:xf>
    <x:xf numFmtId="0" fontId="13" fillId="8" borderId="28" xfId="0" applyNumberFormat="1" applyFont="1" applyFill="1" applyBorder="1" applyAlignment="1">
      <x:alignment vertical="center" wrapText="1"/>
    </x:xf>
    <x:xf numFmtId="0" fontId="13" fillId="8" borderId="10" xfId="0" applyNumberFormat="1" applyFont="1" applyFill="1" applyBorder="1" applyAlignment="1">
      <x:alignment vertical="center" wrapText="1"/>
    </x:xf>
    <x:xf numFmtId="0" fontId="13" fillId="8" borderId="11" xfId="0" applyNumberFormat="1" applyFont="1" applyFill="1" applyBorder="1" applyAlignment="1">
      <x:alignment vertical="center" wrapText="1"/>
    </x:xf>
    <x:xf numFmtId="0" fontId="13" fillId="8" borderId="12" xfId="0" applyNumberFormat="1" applyFont="1" applyFill="1" applyBorder="1" applyAlignment="1">
      <x:alignment vertical="center" wrapText="1"/>
    </x:xf>
    <x:xf numFmtId="0" fontId="13" fillId="9" borderId="0" xfId="0" applyNumberFormat="1" applyFont="1" applyFill="1" applyBorder="1"/>
    <x:xf numFmtId="0" fontId="13" fillId="9" borderId="29" xfId="0" applyNumberFormat="1" applyFont="1" applyFill="1" applyBorder="1"/>
    <x:xf numFmtId="0" fontId="13" fillId="9" borderId="30" xfId="0" applyNumberFormat="1" applyFont="1" applyFill="1" applyBorder="1"/>
    <x:xf numFmtId="0" fontId="13" fillId="9" borderId="31" xfId="0" applyNumberFormat="1" applyFont="1" applyFill="1" applyBorder="1"/>
    <x:xf numFmtId="0" fontId="13" fillId="9" borderId="32" xfId="0" applyNumberFormat="1" applyFont="1" applyFill="1" applyBorder="1"/>
    <x:xf numFmtId="0" fontId="13" fillId="9" borderId="33" xfId="0" applyNumberFormat="1" applyFont="1" applyFill="1" applyBorder="1"/>
    <x:xf numFmtId="0" fontId="13" fillId="9" borderId="34" xfId="0" applyNumberFormat="1" applyFont="1" applyFill="1" applyBorder="1"/>
    <x:xf numFmtId="0" fontId="13" fillId="9" borderId="35" xfId="0" applyNumberFormat="1" applyFont="1" applyFill="1" applyBorder="1"/>
    <x:xf numFmtId="0" fontId="13" fillId="9" borderId="36" xfId="0" applyNumberFormat="1" applyFont="1" applyFill="1" applyBorder="1"/>
    <x:xf numFmtId="0" fontId="13" fillId="9" borderId="29" xfId="0" applyNumberFormat="1" applyFont="1" applyFill="1" applyBorder="1" applyAlignment="1">
      <x:alignment wrapText="1"/>
    </x:xf>
    <x:xf numFmtId="0" fontId="13" fillId="9" borderId="30" xfId="0" applyNumberFormat="1" applyFont="1" applyFill="1" applyBorder="1" applyAlignment="1">
      <x:alignment wrapText="1"/>
    </x:xf>
    <x:xf numFmtId="0" fontId="13" fillId="9" borderId="31" xfId="0" applyNumberFormat="1" applyFont="1" applyFill="1" applyBorder="1" applyAlignment="1">
      <x:alignment wrapText="1"/>
    </x:xf>
    <x:xf numFmtId="0" fontId="13" fillId="9" borderId="32" xfId="0" applyNumberFormat="1" applyFont="1" applyFill="1" applyBorder="1" applyAlignment="1">
      <x:alignment wrapText="1"/>
    </x:xf>
    <x:xf numFmtId="0" fontId="13" fillId="9" borderId="0" xfId="0" applyNumberFormat="1" applyFont="1" applyFill="1" applyBorder="1" applyAlignment="1">
      <x:alignment wrapText="1"/>
    </x:xf>
    <x:xf numFmtId="0" fontId="13" fillId="9" borderId="33" xfId="0" applyNumberFormat="1" applyFont="1" applyFill="1" applyBorder="1" applyAlignment="1">
      <x:alignment wrapText="1"/>
    </x:xf>
    <x:xf numFmtId="0" fontId="13" fillId="9" borderId="34" xfId="0" applyNumberFormat="1" applyFont="1" applyFill="1" applyBorder="1" applyAlignment="1">
      <x:alignment wrapText="1"/>
    </x:xf>
    <x:xf numFmtId="0" fontId="13" fillId="9" borderId="35" xfId="0" applyNumberFormat="1" applyFont="1" applyFill="1" applyBorder="1" applyAlignment="1">
      <x:alignment wrapText="1"/>
    </x:xf>
    <x:xf numFmtId="0" fontId="13" fillId="9" borderId="36" xfId="0" applyNumberFormat="1" applyFont="1" applyFill="1" applyBorder="1" applyAlignment="1">
      <x:alignment wrapText="1"/>
    </x:xf>
    <x:xf numFmtId="0" fontId="13" fillId="9" borderId="29" xfId="0" applyNumberFormat="1" applyFont="1" applyFill="1" applyBorder="1" applyAlignment="1">
      <x:alignment vertical="center" wrapText="1"/>
    </x:xf>
    <x:xf numFmtId="0" fontId="13" fillId="9" borderId="30" xfId="0" applyNumberFormat="1" applyFont="1" applyFill="1" applyBorder="1" applyAlignment="1">
      <x:alignment vertical="center" wrapText="1"/>
    </x:xf>
    <x:xf numFmtId="0" fontId="13" fillId="9" borderId="31" xfId="0" applyNumberFormat="1" applyFont="1" applyFill="1" applyBorder="1" applyAlignment="1">
      <x:alignment vertical="center" wrapText="1"/>
    </x:xf>
    <x:xf numFmtId="0" fontId="13" fillId="9" borderId="32" xfId="0" applyNumberFormat="1" applyFont="1" applyFill="1" applyBorder="1" applyAlignment="1">
      <x:alignment vertical="center" wrapText="1"/>
    </x:xf>
    <x:xf numFmtId="0" fontId="13" fillId="9" borderId="0" xfId="0" applyNumberFormat="1" applyFont="1" applyFill="1" applyBorder="1" applyAlignment="1">
      <x:alignment vertical="center" wrapText="1"/>
    </x:xf>
    <x:xf numFmtId="0" fontId="13" fillId="9" borderId="33" xfId="0" applyNumberFormat="1" applyFont="1" applyFill="1" applyBorder="1" applyAlignment="1">
      <x:alignment vertical="center" wrapText="1"/>
    </x:xf>
    <x:xf numFmtId="0" fontId="13" fillId="9" borderId="34" xfId="0" applyNumberFormat="1" applyFont="1" applyFill="1" applyBorder="1" applyAlignment="1">
      <x:alignment vertical="center" wrapText="1"/>
    </x:xf>
    <x:xf numFmtId="0" fontId="13" fillId="9" borderId="35" xfId="0" applyNumberFormat="1" applyFont="1" applyFill="1" applyBorder="1" applyAlignment="1">
      <x:alignment vertical="center" wrapText="1"/>
    </x:xf>
    <x:xf numFmtId="0" fontId="13" fillId="9" borderId="36" xfId="0" applyNumberFormat="1" applyFont="1" applyFill="1" applyBorder="1" applyAlignment="1">
      <x:alignment vertical="center" wrapText="1"/>
    </x:xf>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0" fontId="6" fillId="11" borderId="0" xfId="0" applyNumberFormat="1" applyFont="1" applyFill="1" applyBorder="1" applyAlignment="1">
      <x:alignment vertical="top" wrapText="1"/>
    </x:xf>
    <x:xf numFmtId="0" fontId="11" fillId="11" borderId="0" xfId="0" applyNumberFormat="1" applyFont="1" applyFill="1" applyBorder="1" applyAlignment="1">
      <x:alignment vertical="top" wrapText="1"/>
    </x:xf>
    <x:xf numFmtId="0" fontId="0" fillId="12" borderId="0" xfId="0" applyNumberFormat="1" applyFont="1" applyFill="1" applyBorder="1"/>
    <x:xf numFmtId="0" fontId="7" fillId="12" borderId="0" xfId="0" applyNumberFormat="1" applyFont="1" applyFill="1" applyBorder="1"/>
    <x:xf numFmtId="0" fontId="7" fillId="12" xfId="0" applyNumberFormat="1" applyFont="1" applyFill="1" applyBorder="0"/>
    <x:xf numFmtId="0" fontId="7" fillId="12" xfId="0" applyNumberFormat="1" applyFont="1" applyFill="1" applyBorder="0" applyAlignment="1">
      <x:alignment wrapText="1"/>
    </x:xf>
    <x:xf numFmtId="0" fontId="7" fillId="12" xfId="0" applyNumberFormat="1" applyFont="1" applyFill="1" applyBorder="0" applyAlignment="1">
      <x:alignment vertical="top" wrapText="1"/>
    </x:xf>
    <x:xf numFmtId="200" fontId="7" fillId="12" xfId="0" applyNumberFormat="1" applyFont="1" applyFill="1" applyBorder="0" applyAlignment="1">
      <x:alignment vertical="top" wrapText="1"/>
    </x:xf>
    <x:xf numFmtId="0" fontId="7" fillId="13" xfId="0" applyNumberFormat="1" applyFont="1" applyFill="1" applyBorder="0" applyAlignment="1">
      <x:alignment vertical="top" wrapText="1"/>
    </x:xf>
    <x:xf numFmtId="0" fontId="11" fillId="13" xfId="0" applyNumberFormat="1" applyFont="1" applyFill="1" applyBorder="0" applyAlignment="1">
      <x:alignment vertical="top" wrapText="1"/>
    </x:xf>
    <x:xf numFmtId="202" fontId="0" fillId="0" borderId="0" xfId="0" applyNumberFormat="1" applyFont="1" applyFill="1" applyBorder="1"/>
    <x:xf numFmtId="0" fontId="7" fillId="14" xfId="0" applyNumberFormat="1" applyFont="1" applyFill="1" applyBorder="0" applyAlignment="1">
      <x:alignment vertical="top" wrapText="1"/>
    </x:xf>
    <x:xf numFmtId="200" fontId="7" fillId="14" xfId="0" applyNumberFormat="1" applyFont="1" applyFill="1" applyBorder="0" applyAlignment="1">
      <x:alignment vertical="top" wrapText="1"/>
    </x:xf>
    <x:xf numFmtId="0" fontId="11" fillId="14" xfId="0" applyNumberFormat="1" applyFont="1" applyFill="1" applyBorder="0" applyAlignment="1">
      <x:alignment vertical="top" wrapText="1"/>
    </x:xf>
    <x:xf numFmtId="202" fontId="7" fillId="14" xfId="0" applyNumberFormat="1" applyFont="1" applyFill="1" applyBorder="0" applyAlignment="1">
      <x:alignment vertical="top" wrapText="1"/>
    </x:xf>
    <x:xf numFmtId="0" fontId="7" fillId="15" xfId="0" applyNumberFormat="1" applyFont="1" applyFill="1" applyBorder="0" applyAlignment="1">
      <x:alignment vertical="top" wrapText="1"/>
    </x:xf>
    <x:xf numFmtId="0" fontId="11" fillId="15" xfId="0" applyNumberFormat="1" applyFont="1" applyFill="1" applyBorder="0" applyAlignment="1">
      <x:alignment vertical="top" wrapText="1"/>
    </x:xf>
  </x:cellXfs>
  <x:cellStyles count="1">
    <x:cellStyle name="Normal" xfId="0"/>
  </x:cellStyles>
  <x:dxfs count="10">
    <x:dxf>
      <x:font>
        <x:b/>
        <x:color rgb="FFFFFFFF"/>
      </x:font>
      <x:fill>
        <x:patternFill>
          <x:bgColor rgb="FF17111D"/>
        </x:patternFill>
      </x:fill>
    </x:dxf>
    <x:dxf>
      <x:font>
        <x:b/>
        <x:color rgb="FFFFFFFF"/>
      </x:font>
      <x:fill>
        <x:patternFill>
          <x:bgColor rgb="FF124A82"/>
        </x:patternFill>
      </x:fill>
    </x:dxf>
    <x:dxf>
      <x:font>
        <x:b/>
        <x:color rgb="FFFFFFFF"/>
      </x:font>
      <x:fill>
        <x:patternFill>
          <x:bgColor rgb="FF61AA8A"/>
        </x:patternFill>
      </x:fill>
    </x:dxf>
    <x:dxf>
      <x:font>
        <x:b/>
        <x:color rgb="FF17111D"/>
      </x:font>
      <x:fill>
        <x:patternFill>
          <x:bgColor rgb="FFC8F029"/>
        </x:patternFill>
      </x:fill>
    </x:dxf>
    <x:dxf>
      <x:font>
        <x:b/>
        <x:color rgb="FFFFFFFF"/>
      </x:font>
      <x:fill>
        <x:patternFill>
          <x:bgColor rgb="FF17111D"/>
        </x:patternFill>
      </x:fill>
    </x:dxf>
    <x:dxf>
      <x:font>
        <x:b/>
        <x:color rgb="FFFFFFFF"/>
      </x:font>
      <x:fill>
        <x:patternFill>
          <x:bgColor rgb="FF124A82"/>
        </x:patternFill>
      </x:fill>
    </x:dxf>
    <x:dxf>
      <x:font>
        <x:b/>
        <x:color rgb="FFFFFFFF"/>
      </x:font>
      <x:fill>
        <x:patternFill>
          <x:bgColor rgb="FF61AA8A"/>
        </x:patternFill>
      </x:fill>
    </x:dxf>
    <x:dxf>
      <x:font>
        <x:b/>
        <x:color rgb="FF17111D"/>
      </x:font>
      <x:fill>
        <x:patternFill>
          <x:bgColor rgb="FFC8F029"/>
        </x:patternFill>
      </x:fill>
    </x:dxf>
    <x:dxf>
      <x:font>
        <x:b/>
        <x:color rgb="FFFFFFFF"/>
      </x:font>
      <x:fill>
        <x:patternFill>
          <x:bgColor rgb="FF17111D"/>
        </x:patternFill>
      </x:fill>
    </x:dxf>
    <x:dxf>
      <x:font>
        <x:b/>
        <x:color rgb="FF17111D"/>
      </x:font>
      <x:fill>
        <x:patternFill>
          <x:bgColor rgb="FFC8F02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aad35b65cfb4b99" /><Relationship Type="http://schemas.openxmlformats.org/officeDocument/2006/relationships/theme" Target="/xl/theme/theme1.xml" Id="R3718ab4989eb4427" /><Relationship Type="http://schemas.openxmlformats.org/officeDocument/2006/relationships/sharedStrings" Target="/xl/sharedStrings.xml" Id="Rf350c00a31764243" /><Relationship Type="http://schemas.openxmlformats.org/officeDocument/2006/relationships/worksheet" Target="/xl/worksheets/sheet1.xml" Id="R239bec948a7247de" /><Relationship Type="http://schemas.openxmlformats.org/officeDocument/2006/relationships/worksheet" Target="/xl/worksheets/sheet2.xml" Id="R07524bae2db44d5a" /><Relationship Type="http://schemas.openxmlformats.org/officeDocument/2006/relationships/worksheet" Target="/xl/worksheets/sheet3.xml" Id="Raec1bb48b386425a" /><Relationship Type="http://schemas.openxmlformats.org/officeDocument/2006/relationships/worksheet" Target="/xl/worksheets/sheet4.xml" Id="Rfb5b5eed43cb47ff" /><Relationship Type="http://schemas.openxmlformats.org/officeDocument/2006/relationships/worksheet" Target="/xl/worksheets/sheet5.xml" Id="Rc01fa5a53628480c" /><Relationship Type="http://schemas.openxmlformats.org/officeDocument/2006/relationships/worksheet" Target="/xl/worksheets/sheet6.xml" Id="R48a51fc87c1b45d9" /><Relationship Type="http://schemas.openxmlformats.org/officeDocument/2006/relationships/worksheet" Target="/xl/worksheets/sheet7.xml" Id="R340dd806f26347a8" /><Relationship Type="http://schemas.microsoft.com/office/2017/10/relationships/person" Target="/xl/persons/person.xml" Id="R4cccf05c99cd402f" /></Relationships>
</file>

<file path=xl/drawings/_rels/drawing1.xml.rels>&#65279;<?xml version="1.0" encoding="utf-8"?><Relationships xmlns="http://schemas.openxmlformats.org/package/2006/relationships"><Relationship Type="http://schemas.openxmlformats.org/officeDocument/2006/relationships/chart" Target="/xl/drawings/charts/chart1.xml" Id="R4fd11ebd1a3e4d13" /><Relationship Type="http://schemas.openxmlformats.org/officeDocument/2006/relationships/chart" Target="/xl/drawings/charts/chart2.xml" Id="Rb14272c5bf2d487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Inherent vs. Residual Risk Distribution</a:t>
            </a:r>
          </a:p>
        </c:rich>
      </c:tx>
      <c:overlay val="0"/>
    </c:title>
    <c:plotArea>
      <c:barChart>
        <c:barDir val="col"/>
        <c:varyColors val="0"/>
        <c:ser>
          <c:idx val="0"/>
          <c:order val="0"/>
          <c:tx>
            <c:v>Inherent Count</c:v>
          </c:tx>
          <c:spPr>
            <a:solidFill xmlns:a="http://schemas.openxmlformats.org/drawingml/2006/main">
              <a:srgbClr val="124A82"/>
            </a:solidFill>
          </c:spPr>
          <c:cat>
            <c:strRef>
              <c:f>'Executive Summary'!$A$10:$A$13</c:f>
              <c:strCache>
                <c:ptCount val="0"/>
              </c:strCache>
            </c:strRef>
          </c:cat>
          <c:val>
            <c:numRef>
              <c:f>'Executive Summary'!$B$10:$B$13</c:f>
              <c:numCache>
                <c:formatCode>General</c:formatCode>
                <c:ptCount val="0"/>
              </c:numCache>
            </c:numRef>
          </c:val>
        </c:ser>
        <c:ser>
          <c:idx val="1"/>
          <c:order val="1"/>
          <c:tx>
            <c:v>Residual Count</c:v>
          </c:tx>
          <c:spPr>
            <a:solidFill xmlns:a="http://schemas.openxmlformats.org/drawingml/2006/main">
              <a:srgbClr val="61AA8A"/>
            </a:solidFill>
          </c:spPr>
          <c:cat>
            <c:strRef>
              <c:f>'Executive Summary'!$A$10:$A$13</c:f>
              <c:strCache>
                <c:ptCount val="0"/>
              </c:strCache>
            </c:strRef>
          </c:cat>
          <c:val>
            <c:numRef>
              <c:f>'Executive Summary'!$C$10:$C$13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Risk Scenarios by Domain</a:t>
            </a:r>
          </a:p>
        </c:rich>
      </c:tx>
      <c:overlay val="0"/>
    </c:title>
    <c:plotArea>
      <c:barChart>
        <c:barDir val="col"/>
        <c:varyColors val="0"/>
        <c:ser>
          <c:idx val="0"/>
          <c:order val="0"/>
          <c:tx>
            <c:v>Residual Risk Count</c:v>
          </c:tx>
          <c:spPr>
            <a:solidFill xmlns:a="http://schemas.openxmlformats.org/drawingml/2006/main">
              <a:srgbClr val="124A82"/>
            </a:solidFill>
          </c:spPr>
          <c:cat>
            <c:strRef>
              <c:f>'Executive Summary'!$A$17:$A$25</c:f>
              <c:strCache>
                <c:ptCount val="0"/>
              </c:strCache>
            </c:strRef>
          </c:cat>
          <c:val>
            <c:numRef>
              <c:f>'Executive Summary'!$B$17:$B$25</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23</xdr:row>
      <xdr:rowOff>0</xdr:rowOff>
    </xdr:from>
    <xdr:to>
      <xdr:col>9</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fd11ebd1a3e4d13"/>
        </a:graphicData>
      </a:graphic>
    </xdr:graphicFrame>
    <xdr:clientData/>
  </xdr:twoCellAnchor>
  <xdr:twoCellAnchor>
    <xdr:from>
      <xdr:col>9</xdr:col>
      <xdr:colOff>0</xdr:colOff>
      <xdr:row>23</xdr:row>
      <xdr:rowOff>0</xdr:rowOff>
    </xdr:from>
    <xdr:to>
      <xdr:col>14</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14272c5bf2d4878"/>
        </a:graphicData>
      </a:graphic>
    </xdr:graphicFrame>
    <xdr:clientData/>
  </xdr:twoCellAnchor>
</xdr:wsDr>
</file>

<file path=xl/persons/person.xml><?xml version="1.0" encoding="utf-8"?>
<xltc:personList xmlns:xltc="http://schemas.microsoft.com/office/spreadsheetml/2018/threadedcomments">
  <xltc:person displayName="Agostinho Montemor" id="{436A6C87-9F98-4D38-9847-2288D99302C6}"/>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N9" dT="2026-08-17T23:20:06.468" personId="{436A6C87-9F98-4D38-9847-2288D99302C6}" id="{79DA5AE7-11AC-484D-83AF-A4809B31AE15}">
    <xltc:text>Inherent Score is calculated as Inherent Likelihood × Inherent Impact using the visible Methodology &amp; Scales thresholds.</xltc:text>
  </xltc:threadedComment>
  <xltc:threadedComment ref="R9" dT="2026-08-17T23:20:06.468" personId="{436A6C87-9F98-4D38-9847-2288D99302C6}" id="{CAD92C1B-A1A8-F540-BCAD-7F85F2C07DD2}">
    <xltc:text>Residual Score is calculated after considering existing controls. Planned mitigations do not reduce residual scoring until implemented and evidenced.</xltc:text>
  </xltc:threadedComment>
</xltc:ThreadedComments>
</file>

<file path=xl/threadedcomments/threadedcomment2.xml><?xml version="1.0" encoding="utf-8"?>
<xltc:ThreadedComments xmlns:xltc="http://schemas.microsoft.com/office/spreadsheetml/2018/threadedcomments">
  <xltc:threadedComment ref="D4" dT="2026-08-17T23:20:06.468" personId="{436A6C87-9F98-4D38-9847-2288D99302C6}" id="{46ABE3A9-AA06-A09C-B71E-52B520C5D32B}">
    <xltc:text>Above appetite includes residual High and Critical risks according to the NovaForge response thresholds.</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e635a655d25c4bfe" /><Relationship Type="http://schemas.openxmlformats.org/officeDocument/2006/relationships/vmlDrawing" Target="/xl/drawings/vmldrawing.vml" Id="R3a1e7c9006d14853" /><Relationship Type="http://schemas.microsoft.com/office/2017/10/relationships/threadedComment" Target="/xl/threadedcomments/threadedcomment.xml" Id="R66fef064c8bd4d8a" /></Relationships>
</file>

<file path=xl/worksheets/_rels/sheet2.xml.rels>&#65279;<?xml version="1.0" encoding="utf-8"?><Relationships xmlns="http://schemas.openxmlformats.org/package/2006/relationships"><Relationship Type="http://schemas.openxmlformats.org/officeDocument/2006/relationships/comments" Target="/xl/comments2.xml" Id="Ra1c9004da5b34e1a" /><Relationship Type="http://schemas.openxmlformats.org/officeDocument/2006/relationships/vmlDrawing" Target="/xl/drawings/vmldrawing2.vml" Id="R6eed63189e804224" /><Relationship Type="http://schemas.microsoft.com/office/2017/10/relationships/threadedComment" Target="/xl/threadedcomments/threadedcomment2.xml" Id="R062d6c96a4cf4da0" /><Relationship Type="http://schemas.openxmlformats.org/officeDocument/2006/relationships/drawing" Target="/xl/drawings/drawing1.xml" Id="R19acc346dd0b436d"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38" hidden="0" customWidth="1"/>
    <x:col min="4" max="4" width="30" hidden="0" customWidth="1"/>
    <x:col min="5" max="5" width="34" hidden="0" customWidth="1"/>
    <x:col min="6" max="6" width="15" hidden="0" customWidth="1"/>
    <x:col min="7" max="7" width="28" hidden="0" customWidth="1"/>
    <x:col min="8" max="8" width="28" hidden="0" customWidth="1"/>
    <x:col min="9" max="9" width="24" hidden="0" customWidth="1"/>
    <x:col min="10" max="10" width="25" hidden="0" customWidth="1"/>
    <x:col min="11" max="11" width="34" hidden="0" customWidth="1"/>
    <x:col min="12" max="12" width="11" hidden="0" customWidth="1"/>
    <x:col min="13" max="13" width="11" hidden="0" customWidth="1"/>
    <x:col min="14" max="14" width="11" hidden="0" customWidth="1"/>
    <x:col min="15" max="15" width="14" hidden="0" customWidth="1"/>
    <x:col min="16" max="16" width="11" hidden="0" customWidth="1"/>
    <x:col min="17" max="17" width="11" hidden="0" customWidth="1"/>
    <x:col min="18" max="18" width="11" hidden="0" customWidth="1"/>
    <x:col min="19" max="19" width="14" hidden="0" customWidth="1"/>
    <x:col min="20" max="20" width="13" hidden="0" customWidth="1"/>
    <x:col min="21" max="21" width="42" hidden="0" customWidth="1"/>
    <x:col min="22" max="22" width="27" hidden="0" customWidth="1"/>
    <x:col min="23" max="23" width="14" hidden="0" customWidth="1"/>
    <x:col min="24" max="24" width="18" hidden="0" customWidth="1"/>
    <x:col min="25" max="25" width="18" hidden="0" customWidth="1"/>
    <x:col min="26" max="26" width="36" hidden="0" customWidth="1"/>
    <x:col min="27" max="27" width="14" hidden="0" customWidth="1"/>
  </x:cols>
  <x:sheetData>
    <x:row r="1" ht="24" customHeight="1">
      <x:c r="A1" s="3" t="str">
        <x:v>NF-GRC-005 — NovaForge Cybersecurity Risk Assessment</x:v>
      </x:c>
      <x:c r="B1" s="1"/>
      <x:c r="C1" s="1"/>
      <x:c r="D1" s="1"/>
      <x:c r="E1" s="1"/>
      <x:c r="F1" s="1"/>
      <x:c r="G1" s="1"/>
      <x:c r="H1" s="1"/>
      <x:c r="I1" s="1"/>
      <x:c r="J1" s="1"/>
      <x:c r="K1" s="1"/>
      <x:c r="L1" s="1"/>
      <x:c r="M1" s="1"/>
      <x:c r="N1" s="1"/>
      <x:c r="O1" s="1"/>
      <x:c r="P1" s="1"/>
      <x:c r="Q1" s="1"/>
      <x:c r="R1" s="1"/>
      <x:c r="S1" s="1"/>
      <x:c r="T1" s="1"/>
      <x:c r="U1" s="1"/>
      <x:c r="V1" s="1"/>
      <x:c r="W1" s="1"/>
      <x:c r="X1" s="1"/>
      <x:c r="Y1" s="1"/>
      <x:c r="Z1" s="1"/>
      <x:c r="AA1" s="1"/>
    </x:row>
    <x:row r="2" ht="24" customHeight="1">
      <x:c r="A2" s="6" t="str">
        <x:v>Prioritized risk scenarios derived from the approved NF-GRC-004 asset baseline</x:v>
      </x:c>
      <x:c r="B2" s="4"/>
      <x:c r="C2" s="4"/>
      <x:c r="D2" s="4"/>
      <x:c r="E2" s="4"/>
      <x:c r="F2" s="4"/>
      <x:c r="G2" s="4"/>
      <x:c r="H2" s="4"/>
      <x:c r="I2" s="4"/>
      <x:c r="J2" s="4"/>
      <x:c r="K2" s="4"/>
      <x:c r="L2" s="4"/>
      <x:c r="M2" s="4"/>
      <x:c r="N2" s="4"/>
      <x:c r="O2" s="4"/>
      <x:c r="P2" s="4"/>
      <x:c r="Q2" s="4"/>
      <x:c r="R2" s="4"/>
      <x:c r="S2" s="4"/>
      <x:c r="T2" s="4"/>
      <x:c r="U2" s="4"/>
      <x:c r="V2" s="4"/>
      <x:c r="W2" s="4"/>
      <x:c r="X2" s="4"/>
      <x:c r="Y2" s="4"/>
      <x:c r="Z2" s="4"/>
      <x:c r="AA2" s="4"/>
    </x:row>
    <x:row r="4" ht="28" customHeight="1">
      <x:c r="A4" s="8" t="str">
        <x:v>Document ID</x:v>
      </x:c>
      <x:c r="B4" t="str">
        <x:v>NF-GRC-005</x:v>
      </x:c>
      <x:c r="C4" s="8" t="str">
        <x:v>Version</x:v>
      </x:c>
      <x:c r="D4" s="245" t="n">
        <x:v>1</x:v>
      </x:c>
      <x:c r="E4" s="10" t="str">
        <x:v>Status</x:v>
      </x:c>
      <x:c r="F4" t="str">
        <x:v>Approved</x:v>
      </x:c>
      <x:c r="G4" s="12" t="str">
        <x:v>Classification</x:v>
      </x:c>
      <x:c r="H4" t="str">
        <x:v>Internal</x:v>
      </x:c>
      <x:c r="I4" s="8" t="str">
        <x:v>Review Cycle</x:v>
      </x:c>
      <x:c r="J4" t="str">
        <x:v>Quarterly</x:v>
      </x:c>
      <x:c r="L4" s="28" t="str">
        <x:v>Scope: 20 prioritized cyber-risk scenarios covering all 35 baseline assets across corporate IT, cloud, engineering, manufacturing/OT, applications, third parties, and information assets.</x:v>
      </x:c>
      <x:c r="M4" s="29"/>
      <x:c r="N4" s="29"/>
      <x:c r="O4" s="29"/>
      <x:c r="P4" s="29"/>
      <x:c r="Q4" s="29"/>
      <x:c r="R4" s="30"/>
      <x:c r="T4" s="48" t="str">
        <x:v>Rating model: Inherent risk reflects exposure before considering current controls. Residual risk reflects exposure after existing controls. Scores are Likelihood × Impact on a 1–25 scale.</x:v>
      </x:c>
      <x:c r="U4" s="49"/>
      <x:c r="V4" s="49"/>
      <x:c r="W4" s="49"/>
      <x:c r="X4" s="49"/>
      <x:c r="Y4" s="49"/>
      <x:c r="Z4" s="49"/>
      <x:c r="AA4" s="50"/>
    </x:row>
    <x:row r="5" ht="28" customHeight="1">
      <x:c r="A5" s="8" t="str">
        <x:v>Assessment Owner</x:v>
      </x:c>
      <x:c r="B5" t="str">
        <x:v>Security Manager</x:v>
      </x:c>
      <x:c r="C5" s="8" t="str">
        <x:v>Custodian</x:v>
      </x:c>
      <x:c r="D5" t="str">
        <x:v>GRC Analyst</x:v>
      </x:c>
      <x:c r="E5" s="10" t="str">
        <x:v>Reviewer</x:v>
      </x:c>
      <x:c r="F5" t="str">
        <x:v>IT Manager</x:v>
      </x:c>
      <x:c r="G5" s="12" t="str">
        <x:v>Approver</x:v>
      </x:c>
      <x:c r="H5" t="str">
        <x:v>CIO</x:v>
      </x:c>
      <x:c r="I5" s="8" t="str">
        <x:v>Assessment Date</x:v>
      </x:c>
      <x:c r="J5" s="13" t="n">
        <x:v>46251</x:v>
      </x:c>
      <x:c r="L5" s="31"/>
      <x:c r="M5" s="32"/>
      <x:c r="N5" s="32"/>
      <x:c r="O5" s="32"/>
      <x:c r="P5" s="32"/>
      <x:c r="Q5" s="32"/>
      <x:c r="R5" s="33"/>
      <x:c r="T5" s="51"/>
      <x:c r="U5" s="52"/>
      <x:c r="V5" s="52"/>
      <x:c r="W5" s="52"/>
      <x:c r="X5" s="52"/>
      <x:c r="Y5" s="52"/>
      <x:c r="Z5" s="52"/>
      <x:c r="AA5" s="53"/>
    </x:row>
    <x:row r="9" ht="46" customHeight="1">
      <x:c r="A9" s="61" t="str">
        <x:v>Risk ID</x:v>
      </x:c>
      <x:c r="B9" s="62" t="str">
        <x:v>Risk Domain</x:v>
      </x:c>
      <x:c r="C9" s="62" t="str">
        <x:v>Risk Scenario</x:v>
      </x:c>
      <x:c r="D9" s="62" t="str">
        <x:v>Threat Source / Event</x:v>
      </x:c>
      <x:c r="E9" s="62" t="str">
        <x:v>Vulnerability / Condition</x:v>
      </x:c>
      <x:c r="F9" s="62" t="str">
        <x:v>Primary Asset ID</x:v>
      </x:c>
      <x:c r="G9" s="62" t="str">
        <x:v>Primary Asset</x:v>
      </x:c>
      <x:c r="H9" s="62" t="str">
        <x:v>Related Asset IDs</x:v>
      </x:c>
      <x:c r="I9" s="62" t="str">
        <x:v>Department</x:v>
      </x:c>
      <x:c r="J9" s="62" t="str">
        <x:v>Risk Owner</x:v>
      </x:c>
      <x:c r="K9" s="62" t="str">
        <x:v>Existing Controls</x:v>
      </x:c>
      <x:c r="L9" s="62" t="str">
        <x:v>Inherent Likelihood</x:v>
      </x:c>
      <x:c r="M9" s="62" t="str">
        <x:v>Inherent Impact</x:v>
      </x:c>
      <x:c r="N9" s="62" t="str">
        <x:v>Inherent Score</x:v>
      </x:c>
      <x:c r="O9" s="62" t="str">
        <x:v>Inherent Rating</x:v>
      </x:c>
      <x:c r="P9" s="62" t="str">
        <x:v>Residual Likelihood</x:v>
      </x:c>
      <x:c r="Q9" s="62" t="str">
        <x:v>Residual Impact</x:v>
      </x:c>
      <x:c r="R9" s="62" t="str">
        <x:v>Residual Score</x:v>
      </x:c>
      <x:c r="S9" s="62" t="str">
        <x:v>Residual Rating</x:v>
      </x:c>
      <x:c r="T9" s="62" t="str">
        <x:v>Treatment</x:v>
      </x:c>
      <x:c r="U9" s="62" t="str">
        <x:v>Planned Response / Mitigation</x:v>
      </x:c>
      <x:c r="V9" s="62" t="str">
        <x:v>Action Owner</x:v>
      </x:c>
      <x:c r="W9" s="62" t="str">
        <x:v>Target Date</x:v>
      </x:c>
      <x:c r="X9" s="62" t="str">
        <x:v>Status</x:v>
      </x:c>
      <x:c r="Y9" s="62" t="str">
        <x:v>NIST CSF 2.0</x:v>
      </x:c>
      <x:c r="Z9" s="62" t="str">
        <x:v>Evidence / Notes</x:v>
      </x:c>
      <x:c r="AA9" s="63" t="str">
        <x:v>Review Date</x:v>
      </x:c>
    </x:row>
    <x:row r="10">
      <x:c r="A10" s="71" t="str">
        <x:v>NF-RSK-001</x:v>
      </x:c>
      <x:c r="B10" s="71" t="str">
        <x:v>Identity &amp; Access</x:v>
      </x:c>
      <x:c r="C10" s="71" t="str">
        <x:v>Compromise of privileged or workforce identities enables unauthorized access across core services.</x:v>
      </x:c>
      <x:c r="D10" s="71" t="str">
        <x:v>Phishing, credential theft, MFA fatigue, or token theft</x:v>
      </x:c>
      <x:c r="E10" s="71" t="str">
        <x:v>Partial MFA resilience, broad privilege, and incomplete periodic access certification</x:v>
      </x:c>
      <x:c r="F10" s="71" t="str">
        <x:v>NF-AST-002</x:v>
      </x:c>
      <x:c r="G10" s="71" t="str">
        <x:f>IFERROR(VLOOKUP(F10,'Asset Scope'!$A$5:$M$39,2,FALSE),"Asset not found")</x:f>
        <x:v>Microsoft Entra ID</x:v>
      </x:c>
      <x:c r="H10" s="71" t="str">
        <x:v>NF-AST-001, NF-AST-013</x:v>
      </x:c>
      <x:c r="I10" s="71" t="str">
        <x:f>IFERROR(VLOOKUP(F10,'Asset Scope'!$A$5:$M$39,4,FALSE),"Department not found")</x:f>
        <x:v>Information Technology</x:v>
      </x:c>
      <x:c r="J10" s="71" t="str">
        <x:v>Chief Information Officer (CIO)</x:v>
      </x:c>
      <x:c r="K10" s="71" t="str">
        <x:v>MFA, conditional access, centralized identity, VPN authentication</x:v>
      </x:c>
      <x:c r="L10" s="71" t="n">
        <x:v>5</x:v>
      </x:c>
      <x:c r="M10" s="71" t="n">
        <x:v>5</x:v>
      </x:c>
      <x:c r="N10" s="71" t="n">
        <x:f>L10*M10</x:f>
        <x:v>25</x:v>
      </x:c>
      <x:c r="O10" s="71" t="str">
        <x:f>IF(N10&gt;='Methodology &amp; Scales'!$H$8,'Methodology &amp; Scales'!$I$8,IF(N10&gt;='Methodology &amp; Scales'!$H$7,'Methodology &amp; Scales'!$I$7,IF(N10&gt;='Methodology &amp; Scales'!$H$6,'Methodology &amp; Scales'!$I$6,'Methodology &amp; Scales'!$I$5)))</x:f>
        <x:v>Critical</x:v>
      </x:c>
      <x:c r="P10" s="71" t="n">
        <x:v>3</x:v>
      </x:c>
      <x:c r="Q10" s="71" t="n">
        <x:v>5</x:v>
      </x:c>
      <x:c r="R10" s="71" t="n">
        <x:f>P10*Q10</x:f>
        <x:v>15</x:v>
      </x:c>
      <x:c r="S10" s="71" t="str">
        <x:f>IF(R10&gt;='Methodology &amp; Scales'!$H$8,'Methodology &amp; Scales'!$I$8,IF(R10&gt;='Methodology &amp; Scales'!$H$7,'Methodology &amp; Scales'!$I$7,IF(R10&gt;='Methodology &amp; Scales'!$H$6,'Methodology &amp; Scales'!$I$6,'Methodology &amp; Scales'!$I$5)))</x:f>
        <x:v>High</x:v>
      </x:c>
      <x:c r="T10" s="71" t="str">
        <x:v>Mitigate</x:v>
      </x:c>
      <x:c r="U10" s="71" t="str">
        <x:v>Deploy phishing-resistant MFA for privileged users; implement privileged identity management; complete quarterly access reviews.</x:v>
      </x:c>
      <x:c r="V10" s="71" t="str">
        <x:v>Systems &amp; Cloud Administration</x:v>
      </x:c>
      <x:c r="W10" s="74" t="n">
        <x:v>46295</x:v>
      </x:c>
      <x:c r="X10" s="71" t="str">
        <x:v>Treatment Planned</x:v>
      </x:c>
      <x:c r="Y10" s="71" t="str">
        <x:v>PR.AA, GV.RR</x:v>
      </x:c>
      <x:c r="Z10" s="71" t="str">
        <x:v>Validate privileged-role inventory, MFA methods, and access-review evidence.</x:v>
      </x:c>
      <x:c r="AA10" s="74" t="n">
        <x:v>46251</x:v>
      </x:c>
    </x:row>
    <x:row r="11">
      <x:c r="A11" s="72" t="str">
        <x:v>NF-RSK-002</x:v>
      </x:c>
      <x:c r="B11" s="72" t="str">
        <x:v>Cloud &amp; Application Security</x:v>
      </x:c>
      <x:c r="C11" s="72" t="str">
        <x:v>Cloud misconfiguration exposes production data or services to unauthorized access.</x:v>
      </x:c>
      <x:c r="D11" s="72" t="str">
        <x:v>External attacker or accidental administrator change</x:v>
      </x:c>
      <x:c r="E11" s="72" t="str">
        <x:v>Complex AWS permissions, public-service exposure, and inconsistent configuration guardrails</x:v>
      </x:c>
      <x:c r="F11" s="72" t="str">
        <x:v>NF-AST-003</x:v>
      </x:c>
      <x:c r="G11" s="72" t="str">
        <x:f>IFERROR(VLOOKUP(F11,'Asset Scope'!$A$5:$M$39,2,FALSE),"Asset not found")</x:f>
        <x:v>AWS Production Environment</x:v>
      </x:c>
      <x:c r="H11" s="72" t="str">
        <x:v>NF-AST-004, NF-AST-021, NF-AST-032, NF-AST-035</x:v>
      </x:c>
      <x:c r="I11" s="72" t="str">
        <x:f>IFERROR(VLOOKUP(F11,'Asset Scope'!$A$5:$M$39,4,FALSE),"Department not found")</x:f>
        <x:v>Information Technology</x:v>
      </x:c>
      <x:c r="J11" s="72" t="str">
        <x:v>Chief Information Officer (CIO)</x:v>
      </x:c>
      <x:c r="K11" s="72" t="str">
        <x:v>Cloud logging, protected backups, environment separation, administrative access controls</x:v>
      </x:c>
      <x:c r="L11" s="72" t="n">
        <x:v>4</x:v>
      </x:c>
      <x:c r="M11" s="72" t="n">
        <x:v>5</x:v>
      </x:c>
      <x:c r="N11" s="72" t="n">
        <x:f>L11*M11</x:f>
        <x:v>20</x:v>
      </x:c>
      <x:c r="O11" s="72" t="str">
        <x:f>IF(N11&gt;='Methodology &amp; Scales'!$H$8,'Methodology &amp; Scales'!$I$8,IF(N11&gt;='Methodology &amp; Scales'!$H$7,'Methodology &amp; Scales'!$I$7,IF(N11&gt;='Methodology &amp; Scales'!$H$6,'Methodology &amp; Scales'!$I$6,'Methodology &amp; Scales'!$I$5)))</x:f>
        <x:v>Critical</x:v>
      </x:c>
      <x:c r="P11" s="72" t="n">
        <x:v>3</x:v>
      </x:c>
      <x:c r="Q11" s="72" t="n">
        <x:v>5</x:v>
      </x:c>
      <x:c r="R11" s="72" t="n">
        <x:f>P11*Q11</x:f>
        <x:v>15</x:v>
      </x:c>
      <x:c r="S11" s="72" t="str">
        <x:f>IF(R11&gt;='Methodology &amp; Scales'!$H$8,'Methodology &amp; Scales'!$I$8,IF(R11&gt;='Methodology &amp; Scales'!$H$7,'Methodology &amp; Scales'!$I$7,IF(R11&gt;='Methodology &amp; Scales'!$H$6,'Methodology &amp; Scales'!$I$6,'Methodology &amp; Scales'!$I$5)))</x:f>
        <x:v>High</x:v>
      </x:c>
      <x:c r="T11" s="72" t="str">
        <x:v>Mitigate</x:v>
      </x:c>
      <x:c r="U11" s="72" t="str">
        <x:v>Establish AWS Organizations guardrails, CSPM checks, infrastructure-as-code review, and quarterly permission reviews.</x:v>
      </x:c>
      <x:c r="V11" s="72" t="str">
        <x:v>Systems &amp; Cloud Administration</x:v>
      </x:c>
      <x:c r="W11" s="75" t="n">
        <x:v>46310</x:v>
      </x:c>
      <x:c r="X11" s="72" t="str">
        <x:v>Treatment Planned</x:v>
      </x:c>
      <x:c r="Y11" s="72" t="str">
        <x:v>ID.RA, PR.PS, DE.CM</x:v>
      </x:c>
      <x:c r="Z11" s="72" t="str">
        <x:v>Confirm CloudTrail coverage, public-resource findings, and backup restoration tests.</x:v>
      </x:c>
      <x:c r="AA11" s="75" t="n">
        <x:v>46251</x:v>
      </x:c>
    </x:row>
    <x:row r="12">
      <x:c r="A12" s="72" t="str">
        <x:v>NF-RSK-003</x:v>
      </x:c>
      <x:c r="B12" s="72" t="str">
        <x:v>Endpoint &amp; Infrastructure</x:v>
      </x:c>
      <x:c r="C12" s="72" t="str">
        <x:v>Ransomware disrupts corporate operations and encrypts business data.</x:v>
      </x:c>
      <x:c r="D12" s="72" t="str">
        <x:v>Malware delivery through email, web, or compromised credentials</x:v>
      </x:c>
      <x:c r="E12" s="72" t="str">
        <x:v>Partial endpoint and Microsoft 365 backup coverage; user-driven attack paths</x:v>
      </x:c>
      <x:c r="F12" s="72" t="str">
        <x:v>NF-AST-010</x:v>
      </x:c>
      <x:c r="G12" s="72" t="str">
        <x:f>IFERROR(VLOOKUP(F12,'Asset Scope'!$A$5:$M$39,2,FALSE),"Asset not found")</x:f>
        <x:v>Windows Endpoint Fleet</x:v>
      </x:c>
      <x:c r="H12" s="72" t="str">
        <x:v>NF-AST-001, NF-AST-011</x:v>
      </x:c>
      <x:c r="I12" s="72" t="str">
        <x:f>IFERROR(VLOOKUP(F12,'Asset Scope'!$A$5:$M$39,4,FALSE),"Department not found")</x:f>
        <x:v>Information Technology</x:v>
      </x:c>
      <x:c r="J12" s="72" t="str">
        <x:v>Chief Information Officer (CIO)</x:v>
      </x:c>
      <x:c r="K12" s="72" t="str">
        <x:v>Endpoint detection, device encryption, email controls, protected server backups</x:v>
      </x:c>
      <x:c r="L12" s="72" t="n">
        <x:v>5</x:v>
      </x:c>
      <x:c r="M12" s="72" t="n">
        <x:v>5</x:v>
      </x:c>
      <x:c r="N12" s="72" t="n">
        <x:f>L12*M12</x:f>
        <x:v>25</x:v>
      </x:c>
      <x:c r="O12" s="72" t="str">
        <x:f>IF(N12&gt;='Methodology &amp; Scales'!$H$8,'Methodology &amp; Scales'!$I$8,IF(N12&gt;='Methodology &amp; Scales'!$H$7,'Methodology &amp; Scales'!$I$7,IF(N12&gt;='Methodology &amp; Scales'!$H$6,'Methodology &amp; Scales'!$I$6,'Methodology &amp; Scales'!$I$5)))</x:f>
        <x:v>Critical</x:v>
      </x:c>
      <x:c r="P12" s="72" t="n">
        <x:v>3</x:v>
      </x:c>
      <x:c r="Q12" s="72" t="n">
        <x:v>4</x:v>
      </x:c>
      <x:c r="R12" s="72" t="n">
        <x:f>P12*Q12</x:f>
        <x:v>12</x:v>
      </x:c>
      <x:c r="S12" s="72" t="str">
        <x:f>IF(R12&gt;='Methodology &amp; Scales'!$H$8,'Methodology &amp; Scales'!$I$8,IF(R12&gt;='Methodology &amp; Scales'!$H$7,'Methodology &amp; Scales'!$I$7,IF(R12&gt;='Methodology &amp; Scales'!$H$6,'Methodology &amp; Scales'!$I$6,'Methodology &amp; Scales'!$I$5)))</x:f>
        <x:v>High</x:v>
      </x:c>
      <x:c r="T12" s="72" t="str">
        <x:v>Mitigate</x:v>
      </x:c>
      <x:c r="U12" s="72" t="str">
        <x:v>Complete endpoint enrollment; implement independent Microsoft 365 backup; test isolated recovery; conduct phishing exercises.</x:v>
      </x:c>
      <x:c r="V12" s="72" t="str">
        <x:v>IT Manager</x:v>
      </x:c>
      <x:c r="W12" s="75" t="n">
        <x:v>46326</x:v>
      </x:c>
      <x:c r="X12" s="72" t="str">
        <x:v>Treatment Planned</x:v>
      </x:c>
      <x:c r="Y12" s="72" t="str">
        <x:v>PR.DS, PR.PS, RC.RP</x:v>
      </x:c>
      <x:c r="Z12" s="72" t="str">
        <x:v>Measure endpoint coverage and document restoration results.</x:v>
      </x:c>
      <x:c r="AA12" s="75" t="n">
        <x:v>46251</x:v>
      </x:c>
    </x:row>
    <x:row r="13">
      <x:c r="A13" s="72" t="str">
        <x:v>NF-RSK-004</x:v>
      </x:c>
      <x:c r="B13" s="72" t="str">
        <x:v>Software &amp; Product Security</x:v>
      </x:c>
      <x:c r="C13" s="72" t="str">
        <x:v>Compromise of the source-code or CI/CD supply chain introduces malicious code into products.</x:v>
      </x:c>
      <x:c r="D13" s="72" t="str">
        <x:v>Compromised developer account, dependency, action, or build credential</x:v>
      </x:c>
      <x:c r="E13" s="72" t="str">
        <x:v>High-value repositories and build secrets with third-party dependency exposure</x:v>
      </x:c>
      <x:c r="F13" s="72" t="str">
        <x:v>NF-AST-005</x:v>
      </x:c>
      <x:c r="G13" s="72" t="str">
        <x:f>IFERROR(VLOOKUP(F13,'Asset Scope'!$A$5:$M$39,2,FALSE),"Asset not found")</x:f>
        <x:v>GitHub Enterprise Organization</x:v>
      </x:c>
      <x:c r="H13" s="72" t="str">
        <x:v>NF-AST-020, NF-AST-033</x:v>
      </x:c>
      <x:c r="I13" s="72" t="str">
        <x:f>IFERROR(VLOOKUP(F13,'Asset Scope'!$A$5:$M$39,4,FALSE),"Department not found")</x:f>
        <x:v>Engineering &amp; R&amp;D</x:v>
      </x:c>
      <x:c r="J13" s="72" t="str">
        <x:v>Chief Technology Officer (CTO)</x:v>
      </x:c>
      <x:c r="K13" s="72" t="str">
        <x:v>SSO, protected branches, code review, repository backup</x:v>
      </x:c>
      <x:c r="L13" s="72" t="n">
        <x:v>4</x:v>
      </x:c>
      <x:c r="M13" s="72" t="n">
        <x:v>5</x:v>
      </x:c>
      <x:c r="N13" s="72" t="n">
        <x:f>L13*M13</x:f>
        <x:v>20</x:v>
      </x:c>
      <x:c r="O13" s="72" t="str">
        <x:f>IF(N13&gt;='Methodology &amp; Scales'!$H$8,'Methodology &amp; Scales'!$I$8,IF(N13&gt;='Methodology &amp; Scales'!$H$7,'Methodology &amp; Scales'!$I$7,IF(N13&gt;='Methodology &amp; Scales'!$H$6,'Methodology &amp; Scales'!$I$6,'Methodology &amp; Scales'!$I$5)))</x:f>
        <x:v>Critical</x:v>
      </x:c>
      <x:c r="P13" s="72" t="n">
        <x:v>3</x:v>
      </x:c>
      <x:c r="Q13" s="72" t="n">
        <x:v>5</x:v>
      </x:c>
      <x:c r="R13" s="72" t="n">
        <x:f>P13*Q13</x:f>
        <x:v>15</x:v>
      </x:c>
      <x:c r="S13" s="72" t="str">
        <x:f>IF(R13&gt;='Methodology &amp; Scales'!$H$8,'Methodology &amp; Scales'!$I$8,IF(R13&gt;='Methodology &amp; Scales'!$H$7,'Methodology &amp; Scales'!$I$7,IF(R13&gt;='Methodology &amp; Scales'!$H$6,'Methodology &amp; Scales'!$I$6,'Methodology &amp; Scales'!$I$5)))</x:f>
        <x:v>High</x:v>
      </x:c>
      <x:c r="T13" s="72" t="str">
        <x:v>Mitigate</x:v>
      </x:c>
      <x:c r="U13" s="72" t="str">
        <x:v>Enforce signed commits and protected releases; scan dependencies and secrets; isolate build credentials; generate SBOMs.</x:v>
      </x:c>
      <x:c r="V13" s="72" t="str">
        <x:v>Software Engineering</x:v>
      </x:c>
      <x:c r="W13" s="75" t="n">
        <x:v>46310</x:v>
      </x:c>
      <x:c r="X13" s="72" t="str">
        <x:v>Treatment Planned</x:v>
      </x:c>
      <x:c r="Y13" s="72" t="str">
        <x:v>ID.RA, PR.PS</x:v>
      </x:c>
      <x:c r="Z13" s="72" t="str">
        <x:v>Review branch protection, workflow permissions, build secrets, and release-signing evidence.</x:v>
      </x:c>
      <x:c r="AA13" s="75" t="n">
        <x:v>46251</x:v>
      </x:c>
    </x:row>
    <x:row r="14">
      <x:c r="A14" s="72" t="str">
        <x:v>NF-RSK-005</x:v>
      </x:c>
      <x:c r="B14" s="72" t="str">
        <x:v>Software &amp; Product Security</x:v>
      </x:c>
      <x:c r="C14" s="72" t="str">
        <x:v>Firmware-signing key compromise permits unauthorized firmware to appear trusted.</x:v>
      </x:c>
      <x:c r="D14" s="72" t="str">
        <x:v>Credential theft or compromise of the firmware build environment</x:v>
      </x:c>
      <x:c r="E14" s="72" t="str">
        <x:v>Signing keys and build credentials concentrated in a high-value system</x:v>
      </x:c>
      <x:c r="F14" s="72" t="str">
        <x:v>NF-AST-020</x:v>
      </x:c>
      <x:c r="G14" s="72" t="str">
        <x:f>IFERROR(VLOOKUP(F14,'Asset Scope'!$A$5:$M$39,2,FALSE),"Asset not found")</x:f>
        <x:v>Firmware Build System</x:v>
      </x:c>
      <x:c r="H14" s="72" t="str">
        <x:v>NF-AST-022, NF-AST-032</x:v>
      </x:c>
      <x:c r="I14" s="72" t="str">
        <x:f>IFERROR(VLOOKUP(F14,'Asset Scope'!$A$5:$M$39,4,FALSE),"Department not found")</x:f>
        <x:v>Engineering &amp; R&amp;D</x:v>
      </x:c>
      <x:c r="J14" s="72" t="str">
        <x:v>Chief Technology Officer (CTO)</x:v>
      </x:c>
      <x:c r="K14" s="72" t="str">
        <x:v>Controlled build system, release tracking, protected backups</x:v>
      </x:c>
      <x:c r="L14" s="72" t="n">
        <x:v>3</x:v>
      </x:c>
      <x:c r="M14" s="72" t="n">
        <x:v>5</x:v>
      </x:c>
      <x:c r="N14" s="72" t="n">
        <x:f>L14*M14</x:f>
        <x:v>15</x:v>
      </x:c>
      <x:c r="O14" s="72" t="str">
        <x:f>IF(N14&gt;='Methodology &amp; Scales'!$H$8,'Methodology &amp; Scales'!$I$8,IF(N14&gt;='Methodology &amp; Scales'!$H$7,'Methodology &amp; Scales'!$I$7,IF(N14&gt;='Methodology &amp; Scales'!$H$6,'Methodology &amp; Scales'!$I$6,'Methodology &amp; Scales'!$I$5)))</x:f>
        <x:v>High</x:v>
      </x:c>
      <x:c r="P14" s="72" t="n">
        <x:v>2</x:v>
      </x:c>
      <x:c r="Q14" s="72" t="n">
        <x:v>5</x:v>
      </x:c>
      <x:c r="R14" s="72" t="n">
        <x:f>P14*Q14</x:f>
        <x:v>10</x:v>
      </x:c>
      <x:c r="S14" s="72" t="str">
        <x:f>IF(R14&gt;='Methodology &amp; Scales'!$H$8,'Methodology &amp; Scales'!$I$8,IF(R14&gt;='Methodology &amp; Scales'!$H$7,'Methodology &amp; Scales'!$I$7,IF(R14&gt;='Methodology &amp; Scales'!$H$6,'Methodology &amp; Scales'!$I$6,'Methodology &amp; Scales'!$I$5)))</x:f>
        <x:v>High</x:v>
      </x:c>
      <x:c r="T14" s="72" t="str">
        <x:v>Mitigate</x:v>
      </x:c>
      <x:c r="U14" s="72" t="str">
        <x:v>Move signing keys to hardware-backed storage; require dual approval; separate build and signing; monitor all signing events.</x:v>
      </x:c>
      <x:c r="V14" s="72" t="str">
        <x:v>Firmware / Embedded Systems</x:v>
      </x:c>
      <x:c r="W14" s="75" t="n">
        <x:v>46295</x:v>
      </x:c>
      <x:c r="X14" s="72" t="str">
        <x:v>Treatment Planned</x:v>
      </x:c>
      <x:c r="Y14" s="72" t="str">
        <x:v>PR.AA, PR.PS</x:v>
      </x:c>
      <x:c r="Z14" s="72" t="str">
        <x:v>Document key custody, signing logs, and emergency key-revocation process.</x:v>
      </x:c>
      <x:c r="AA14" s="75" t="n">
        <x:v>46251</x:v>
      </x:c>
    </x:row>
    <x:row r="15">
      <x:c r="A15" s="72" t="str">
        <x:v>NF-RSK-006</x:v>
      </x:c>
      <x:c r="B15" s="72" t="str">
        <x:v>Operational Technology</x:v>
      </x:c>
      <x:c r="C15" s="72" t="str">
        <x:v>Unauthorized OT access disrupts production or creates an unsafe robotic condition.</x:v>
      </x:c>
      <x:c r="D15" s="72" t="str">
        <x:v>External attacker, compromised corporate host, or malicious insider</x:v>
      </x:c>
      <x:c r="E15" s="72" t="str">
        <x:v>Industrial assets require controlled access and continuous monitoring; legacy protocols may lack strong authentication</x:v>
      </x:c>
      <x:c r="F15" s="72" t="str">
        <x:v>NF-AST-025</x:v>
      </x:c>
      <x:c r="G15" s="72" t="str">
        <x:f>IFERROR(VLOOKUP(F15,'Asset Scope'!$A$5:$M$39,2,FALSE),"Asset not found")</x:f>
        <x:v>Manufacturing OT Network</x:v>
      </x:c>
      <x:c r="H15" s="72" t="str">
        <x:v>NF-AST-022, NF-AST-023, NF-AST-026</x:v>
      </x:c>
      <x:c r="I15" s="72" t="str">
        <x:f>IFERROR(VLOOKUP(F15,'Asset Scope'!$A$5:$M$39,4,FALSE),"Department not found")</x:f>
        <x:v>Manufacturing Operations</x:v>
      </x:c>
      <x:c r="J15" s="72" t="str">
        <x:v>Chief Operating Officer (COO)</x:v>
      </x:c>
      <x:c r="K15" s="72" t="str">
        <x:v>Network segmentation, configuration backups, approved interconnections</x:v>
      </x:c>
      <x:c r="L15" s="72" t="n">
        <x:v>4</x:v>
      </x:c>
      <x:c r="M15" s="72" t="n">
        <x:v>5</x:v>
      </x:c>
      <x:c r="N15" s="72" t="n">
        <x:f>L15*M15</x:f>
        <x:v>20</x:v>
      </x:c>
      <x:c r="O15" s="72" t="str">
        <x:f>IF(N15&gt;='Methodology &amp; Scales'!$H$8,'Methodology &amp; Scales'!$I$8,IF(N15&gt;='Methodology &amp; Scales'!$H$7,'Methodology &amp; Scales'!$I$7,IF(N15&gt;='Methodology &amp; Scales'!$H$6,'Methodology &amp; Scales'!$I$6,'Methodology &amp; Scales'!$I$5)))</x:f>
        <x:v>Critical</x:v>
      </x:c>
      <x:c r="P15" s="72" t="n">
        <x:v>3</x:v>
      </x:c>
      <x:c r="Q15" s="72" t="n">
        <x:v>5</x:v>
      </x:c>
      <x:c r="R15" s="72" t="n">
        <x:f>P15*Q15</x:f>
        <x:v>15</x:v>
      </x:c>
      <x:c r="S15" s="72" t="str">
        <x:f>IF(R15&gt;='Methodology &amp; Scales'!$H$8,'Methodology &amp; Scales'!$I$8,IF(R15&gt;='Methodology &amp; Scales'!$H$7,'Methodology &amp; Scales'!$I$7,IF(R15&gt;='Methodology &amp; Scales'!$H$6,'Methodology &amp; Scales'!$I$6,'Methodology &amp; Scales'!$I$5)))</x:f>
        <x:v>High</x:v>
      </x:c>
      <x:c r="T15" s="72" t="str">
        <x:v>Mitigate</x:v>
      </x:c>
      <x:c r="U15" s="72" t="str">
        <x:v>Implement OT allow-listing and monitored jump access; validate safety interlocks; centralize OT logs; run an incident exercise.</x:v>
      </x:c>
      <x:c r="V15" s="72" t="str">
        <x:v>Manufacturing Manager</x:v>
      </x:c>
      <x:c r="W15" s="75" t="n">
        <x:v>46295</x:v>
      </x:c>
      <x:c r="X15" s="72" t="str">
        <x:v>Treatment Planned</x:v>
      </x:c>
      <x:c r="Y15" s="72" t="str">
        <x:v>PR.IR, DE.CM, RS.MA</x:v>
      </x:c>
      <x:c r="Z15" s="72" t="str">
        <x:v>Verify firewall rules, remote-access paths, safety test results, and OT incident procedures.</x:v>
      </x:c>
      <x:c r="AA15" s="75" t="n">
        <x:v>46251</x:v>
      </x:c>
    </x:row>
    <x:row r="16">
      <x:c r="A16" s="72" t="str">
        <x:v>NF-RSK-007</x:v>
      </x:c>
      <x:c r="B16" s="72" t="str">
        <x:v>Cloud &amp; Application Security</x:v>
      </x:c>
      <x:c r="C16" s="72" t="str">
        <x:v>A regional cloud or platform failure makes ForgeVision unavailable to customers.</x:v>
      </x:c>
      <x:c r="D16" s="72" t="str">
        <x:v>Cloud-region outage, platform failure, or destructive administrative error</x:v>
      </x:c>
      <x:c r="E16" s="72" t="str">
        <x:v>Production concentration in one region and unverified recovery objectives</x:v>
      </x:c>
      <x:c r="F16" s="72" t="str">
        <x:v>NF-AST-021</x:v>
      </x:c>
      <x:c r="G16" s="72" t="str">
        <x:f>IFERROR(VLOOKUP(F16,'Asset Scope'!$A$5:$M$39,2,FALSE),"Asset not found")</x:f>
        <x:v>ForgeVision Production Platform</x:v>
      </x:c>
      <x:c r="H16" s="72" t="str">
        <x:v>NF-AST-003, NF-AST-035</x:v>
      </x:c>
      <x:c r="I16" s="72" t="str">
        <x:f>IFERROR(VLOOKUP(F16,'Asset Scope'!$A$5:$M$39,4,FALSE),"Department not found")</x:f>
        <x:v>Engineering &amp; R&amp;D</x:v>
      </x:c>
      <x:c r="J16" s="72" t="str">
        <x:v>Chief Technology Officer (CTO)</x:v>
      </x:c>
      <x:c r="K16" s="72" t="str">
        <x:v>Protected backups, cloud monitoring, containerized workloads</x:v>
      </x:c>
      <x:c r="L16" s="72" t="n">
        <x:v>4</x:v>
      </x:c>
      <x:c r="M16" s="72" t="n">
        <x:v>5</x:v>
      </x:c>
      <x:c r="N16" s="72" t="n">
        <x:f>L16*M16</x:f>
        <x:v>20</x:v>
      </x:c>
      <x:c r="O16" s="72" t="str">
        <x:f>IF(N16&gt;='Methodology &amp; Scales'!$H$8,'Methodology &amp; Scales'!$I$8,IF(N16&gt;='Methodology &amp; Scales'!$H$7,'Methodology &amp; Scales'!$I$7,IF(N16&gt;='Methodology &amp; Scales'!$H$6,'Methodology &amp; Scales'!$I$6,'Methodology &amp; Scales'!$I$5)))</x:f>
        <x:v>Critical</x:v>
      </x:c>
      <x:c r="P16" s="72" t="n">
        <x:v>2</x:v>
      </x:c>
      <x:c r="Q16" s="72" t="n">
        <x:v>5</x:v>
      </x:c>
      <x:c r="R16" s="72" t="n">
        <x:f>P16*Q16</x:f>
        <x:v>10</x:v>
      </x:c>
      <x:c r="S16" s="72" t="str">
        <x:f>IF(R16&gt;='Methodology &amp; Scales'!$H$8,'Methodology &amp; Scales'!$I$8,IF(R16&gt;='Methodology &amp; Scales'!$H$7,'Methodology &amp; Scales'!$I$7,IF(R16&gt;='Methodology &amp; Scales'!$H$6,'Methodology &amp; Scales'!$I$6,'Methodology &amp; Scales'!$I$5)))</x:f>
        <x:v>High</x:v>
      </x:c>
      <x:c r="T16" s="72" t="str">
        <x:v>Mitigate</x:v>
      </x:c>
      <x:c r="U16" s="72" t="str">
        <x:v>Define RTO/RPO; build tested cross-region recovery; automate restoration; conduct annual disaster-recovery exercises.</x:v>
      </x:c>
      <x:c r="V16" s="72" t="str">
        <x:v>Software Engineering</x:v>
      </x:c>
      <x:c r="W16" s="75" t="n">
        <x:v>46341</x:v>
      </x:c>
      <x:c r="X16" s="72" t="str">
        <x:v>Treatment Planned</x:v>
      </x:c>
      <x:c r="Y16" s="72" t="str">
        <x:v>PR.IR, RC.RP</x:v>
      </x:c>
      <x:c r="Z16" s="72" t="str">
        <x:v>Record recovery objectives, architecture decision, and test evidence.</x:v>
      </x:c>
      <x:c r="AA16" s="75" t="n">
        <x:v>46251</x:v>
      </x:c>
    </x:row>
    <x:row r="17">
      <x:c r="A17" s="72" t="str">
        <x:v>NF-RSK-008</x:v>
      </x:c>
      <x:c r="B17" s="72" t="str">
        <x:v>Business Resilience &amp; Fraud</x:v>
      </x:c>
      <x:c r="C17" s="72" t="str">
        <x:v>Manufacturing system outage stops work-order execution and delays shipment.</x:v>
      </x:c>
      <x:c r="D17" s="72" t="str">
        <x:v>SaaS outage, integration failure, or destructive change</x:v>
      </x:c>
      <x:c r="E17" s="72" t="str">
        <x:v>Operational dependence on interconnected MES, ERP, and warehouse services</x:v>
      </x:c>
      <x:c r="F17" s="72" t="str">
        <x:v>NF-AST-027</x:v>
      </x:c>
      <x:c r="G17" s="72" t="str">
        <x:f>IFERROR(VLOOKUP(F17,'Asset Scope'!$A$5:$M$39,2,FALSE),"Asset not found")</x:f>
        <x:v>Manufacturing Execution System</x:v>
      </x:c>
      <x:c r="H17" s="72" t="str">
        <x:v>NF-AST-028, NF-AST-030</x:v>
      </x:c>
      <x:c r="I17" s="72" t="str">
        <x:f>IFERROR(VLOOKUP(F17,'Asset Scope'!$A$5:$M$39,4,FALSE),"Department not found")</x:f>
        <x:v>Manufacturing Operations</x:v>
      </x:c>
      <x:c r="J17" s="72" t="str">
        <x:v>Chief Operating Officer (COO)</x:v>
      </x:c>
      <x:c r="K17" s="72" t="str">
        <x:v>Vendor availability features, protected backups, operational procedures</x:v>
      </x:c>
      <x:c r="L17" s="72" t="n">
        <x:v>4</x:v>
      </x:c>
      <x:c r="M17" s="72" t="n">
        <x:v>4</x:v>
      </x:c>
      <x:c r="N17" s="72" t="n">
        <x:f>L17*M17</x:f>
        <x:v>16</x:v>
      </x:c>
      <x:c r="O17" s="72" t="str">
        <x:f>IF(N17&gt;='Methodology &amp; Scales'!$H$8,'Methodology &amp; Scales'!$I$8,IF(N17&gt;='Methodology &amp; Scales'!$H$7,'Methodology &amp; Scales'!$I$7,IF(N17&gt;='Methodology &amp; Scales'!$H$6,'Methodology &amp; Scales'!$I$6,'Methodology &amp; Scales'!$I$5)))</x:f>
        <x:v>High</x:v>
      </x:c>
      <x:c r="P17" s="72" t="n">
        <x:v>2</x:v>
      </x:c>
      <x:c r="Q17" s="72" t="n">
        <x:v>4</x:v>
      </x:c>
      <x:c r="R17" s="72" t="n">
        <x:f>P17*Q17</x:f>
        <x:v>8</x:v>
      </x:c>
      <x:c r="S17" s="72" t="str">
        <x:f>IF(R17&gt;='Methodology &amp; Scales'!$H$8,'Methodology &amp; Scales'!$I$8,IF(R17&gt;='Methodology &amp; Scales'!$H$7,'Methodology &amp; Scales'!$I$7,IF(R17&gt;='Methodology &amp; Scales'!$H$6,'Methodology &amp; Scales'!$I$6,'Methodology &amp; Scales'!$I$5)))</x:f>
        <x:v>Moderate</x:v>
      </x:c>
      <x:c r="T17" s="72" t="str">
        <x:v>Mitigate</x:v>
      </x:c>
      <x:c r="U17" s="72" t="str">
        <x:v>Document manual production fallback; define integration recovery order; test continuity procedures with operations.</x:v>
      </x:c>
      <x:c r="V17" s="72" t="str">
        <x:v>Production</x:v>
      </x:c>
      <x:c r="W17" s="75" t="n">
        <x:v>46418</x:v>
      </x:c>
      <x:c r="X17" s="72" t="str">
        <x:v>Treatment Planned</x:v>
      </x:c>
      <x:c r="Y17" s="72" t="str">
        <x:v>PR.IR, RC.RP</x:v>
      </x:c>
      <x:c r="Z17" s="72" t="str">
        <x:v>Capture vendor SLAs, fallback work instructions, and tabletop results.</x:v>
      </x:c>
      <x:c r="AA17" s="75" t="n">
        <x:v>46251</x:v>
      </x:c>
    </x:row>
    <x:row r="18">
      <x:c r="A18" s="72" t="str">
        <x:v>NF-RSK-009</x:v>
      </x:c>
      <x:c r="B18" s="72" t="str">
        <x:v>Data Protection &amp; Privacy</x:v>
      </x:c>
      <x:c r="C18" s="72" t="str">
        <x:v>Insider misuse or account compromise causes theft of proprietary designs and source code.</x:v>
      </x:c>
      <x:c r="D18" s="72" t="str">
        <x:v>Malicious insider, departing employee, or compromised engineering account</x:v>
      </x:c>
      <x:c r="E18" s="72" t="str">
        <x:v>Broad engineering access across repositories and incomplete behavior monitoring</x:v>
      </x:c>
      <x:c r="F18" s="72" t="str">
        <x:v>NF-AST-033</x:v>
      </x:c>
      <x:c r="G18" s="72" t="str">
        <x:f>IFERROR(VLOOKUP(F18,'Asset Scope'!$A$5:$M$39,2,FALSE),"Asset not found")</x:f>
        <x:v>Intellectual Property Repository</x:v>
      </x:c>
      <x:c r="H18" s="72" t="str">
        <x:v>NF-AST-005, NF-AST-007, NF-AST-017, NF-AST-018, NF-AST-019</x:v>
      </x:c>
      <x:c r="I18" s="72" t="str">
        <x:f>IFERROR(VLOOKUP(F18,'Asset Scope'!$A$5:$M$39,4,FALSE),"Department not found")</x:f>
        <x:v>Engineering &amp; R&amp;D</x:v>
      </x:c>
      <x:c r="J18" s="72" t="str">
        <x:v>Chief Technology Officer (CTO)</x:v>
      </x:c>
      <x:c r="K18" s="72" t="str">
        <x:v>Role-based access, SSO, repository logging, endpoint controls</x:v>
      </x:c>
      <x:c r="L18" s="72" t="n">
        <x:v>4</x:v>
      </x:c>
      <x:c r="M18" s="72" t="n">
        <x:v>5</x:v>
      </x:c>
      <x:c r="N18" s="72" t="n">
        <x:f>L18*M18</x:f>
        <x:v>20</x:v>
      </x:c>
      <x:c r="O18" s="72" t="str">
        <x:f>IF(N18&gt;='Methodology &amp; Scales'!$H$8,'Methodology &amp; Scales'!$I$8,IF(N18&gt;='Methodology &amp; Scales'!$H$7,'Methodology &amp; Scales'!$I$7,IF(N18&gt;='Methodology &amp; Scales'!$H$6,'Methodology &amp; Scales'!$I$6,'Methodology &amp; Scales'!$I$5)))</x:f>
        <x:v>Critical</x:v>
      </x:c>
      <x:c r="P18" s="72" t="n">
        <x:v>3</x:v>
      </x:c>
      <x:c r="Q18" s="72" t="n">
        <x:v>4</x:v>
      </x:c>
      <x:c r="R18" s="72" t="n">
        <x:f>P18*Q18</x:f>
        <x:v>12</x:v>
      </x:c>
      <x:c r="S18" s="72" t="str">
        <x:f>IF(R18&gt;='Methodology &amp; Scales'!$H$8,'Methodology &amp; Scales'!$I$8,IF(R18&gt;='Methodology &amp; Scales'!$H$7,'Methodology &amp; Scales'!$I$7,IF(R18&gt;='Methodology &amp; Scales'!$H$6,'Methodology &amp; Scales'!$I$6,'Methodology &amp; Scales'!$I$5)))</x:f>
        <x:v>High</x:v>
      </x:c>
      <x:c r="T18" s="72" t="str">
        <x:v>Mitigate</x:v>
      </x:c>
      <x:c r="U18" s="72" t="str">
        <x:v>Apply least privilege by project; automate offboarding; deploy DLP for key repositories; review anomalous bulk downloads.</x:v>
      </x:c>
      <x:c r="V18" s="72" t="str">
        <x:v>Director of Engineering &amp; R&amp;D</x:v>
      </x:c>
      <x:c r="W18" s="75" t="n">
        <x:v>46326</x:v>
      </x:c>
      <x:c r="X18" s="72" t="str">
        <x:v>Treatment Planned</x:v>
      </x:c>
      <x:c r="Y18" s="72" t="str">
        <x:v>PR.AA, PR.DS, DE.CM</x:v>
      </x:c>
      <x:c r="Z18" s="72" t="str">
        <x:v>Review access groups, termination samples, DLP coverage, and repository audit logs.</x:v>
      </x:c>
      <x:c r="AA18" s="75" t="n">
        <x:v>46251</x:v>
      </x:c>
    </x:row>
    <x:row r="19">
      <x:c r="A19" s="72" t="str">
        <x:v>NF-RSK-010</x:v>
      </x:c>
      <x:c r="B19" s="72" t="str">
        <x:v>Data Protection &amp; Privacy</x:v>
      </x:c>
      <x:c r="C19" s="72" t="str">
        <x:v>Exposure of employee and payroll records causes privacy, fraud, and legal harm.</x:v>
      </x:c>
      <x:c r="D19" s="72" t="str">
        <x:v>Account takeover, misdelivery, excessive access, or vendor breach</x:v>
      </x:c>
      <x:c r="E19" s="72" t="str">
        <x:v>Highly sensitive records span HRIS, payroll, and collaboration storage</x:v>
      </x:c>
      <x:c r="F19" s="72" t="str">
        <x:v>NF-AST-034</x:v>
      </x:c>
      <x:c r="G19" s="72" t="str">
        <x:f>IFERROR(VLOOKUP(F19,'Asset Scope'!$A$5:$M$39,2,FALSE),"Asset not found")</x:f>
        <x:v>Employee Records</x:v>
      </x:c>
      <x:c r="H19" s="72" t="str">
        <x:v>NF-AST-029</x:v>
      </x:c>
      <x:c r="I19" s="72" t="str">
        <x:f>IFERROR(VLOOKUP(F19,'Asset Scope'!$A$5:$M$39,4,FALSE),"Department not found")</x:f>
        <x:v>Human Resources</x:v>
      </x:c>
      <x:c r="J19" s="72" t="str">
        <x:v>Director of Human Resources</x:v>
      </x:c>
      <x:c r="K19" s="72" t="str">
        <x:v>Restricted classification, limited HR access, vendor backup and authentication controls</x:v>
      </x:c>
      <x:c r="L19" s="72" t="n">
        <x:v>4</x:v>
      </x:c>
      <x:c r="M19" s="72" t="n">
        <x:v>4</x:v>
      </x:c>
      <x:c r="N19" s="72" t="n">
        <x:f>L19*M19</x:f>
        <x:v>16</x:v>
      </x:c>
      <x:c r="O19" s="72" t="str">
        <x:f>IF(N19&gt;='Methodology &amp; Scales'!$H$8,'Methodology &amp; Scales'!$I$8,IF(N19&gt;='Methodology &amp; Scales'!$H$7,'Methodology &amp; Scales'!$I$7,IF(N19&gt;='Methodology &amp; Scales'!$H$6,'Methodology &amp; Scales'!$I$6,'Methodology &amp; Scales'!$I$5)))</x:f>
        <x:v>High</x:v>
      </x:c>
      <x:c r="P19" s="72" t="n">
        <x:v>2</x:v>
      </x:c>
      <x:c r="Q19" s="72" t="n">
        <x:v>4</x:v>
      </x:c>
      <x:c r="R19" s="72" t="n">
        <x:f>P19*Q19</x:f>
        <x:v>8</x:v>
      </x:c>
      <x:c r="S19" s="72" t="str">
        <x:f>IF(R19&gt;='Methodology &amp; Scales'!$H$8,'Methodology &amp; Scales'!$I$8,IF(R19&gt;='Methodology &amp; Scales'!$H$7,'Methodology &amp; Scales'!$I$7,IF(R19&gt;='Methodology &amp; Scales'!$H$6,'Methodology &amp; Scales'!$I$6,'Methodology &amp; Scales'!$I$5)))</x:f>
        <x:v>Moderate</x:v>
      </x:c>
      <x:c r="T19" s="72" t="str">
        <x:v>Mitigate</x:v>
      </x:c>
      <x:c r="U19" s="72" t="str">
        <x:v>Complete HR access recertification; define retention; encrypt exports; validate vendor breach and deletion terms.</x:v>
      </x:c>
      <x:c r="V19" s="72" t="str">
        <x:v>Director of Human Resources</x:v>
      </x:c>
      <x:c r="W19" s="75" t="n">
        <x:v>46418</x:v>
      </x:c>
      <x:c r="X19" s="72" t="str">
        <x:v>Treatment Planned</x:v>
      </x:c>
      <x:c r="Y19" s="72" t="str">
        <x:v>PR.AA, PR.DS, GV.SC</x:v>
      </x:c>
      <x:c r="Z19" s="72" t="str">
        <x:v>Retain access-review, retention, encryption, and vendor-contract evidence.</x:v>
      </x:c>
      <x:c r="AA19" s="75" t="n">
        <x:v>46251</x:v>
      </x:c>
    </x:row>
    <x:row r="20">
      <x:c r="A20" s="72" t="str">
        <x:v>NF-RSK-011</x:v>
      </x:c>
      <x:c r="B20" s="72" t="str">
        <x:v>Third-Party Risk</x:v>
      </x:c>
      <x:c r="C20" s="72" t="str">
        <x:v>Compromise or extended outage of a critical SaaS provider affects multiple business functions.</x:v>
      </x:c>
      <x:c r="D20" s="72" t="str">
        <x:v>Vendor breach, service outage, or concentration failure</x:v>
      </x:c>
      <x:c r="E20" s="72" t="str">
        <x:v>Reliance on vendors without a mature recurring security and resilience review process</x:v>
      </x:c>
      <x:c r="F20" s="72" t="str">
        <x:v>NF-AST-006</x:v>
      </x:c>
      <x:c r="G20" s="72" t="str">
        <x:f>IFERROR(VLOOKUP(F20,'Asset Scope'!$A$5:$M$39,2,FALSE),"Asset not found")</x:f>
        <x:v>Jira Project Management</x:v>
      </x:c>
      <x:c r="H20" s="72" t="str">
        <x:v>NF-AST-007, NF-AST-008, NF-AST-029, NF-AST-030, NF-AST-031</x:v>
      </x:c>
      <x:c r="I20" s="72" t="str">
        <x:f>IFERROR(VLOOKUP(F20,'Asset Scope'!$A$5:$M$39,4,FALSE),"Department not found")</x:f>
        <x:v>Engineering &amp; R&amp;D</x:v>
      </x:c>
      <x:c r="J20" s="72" t="str">
        <x:v>Chief Operating Officer (COO)</x:v>
      </x:c>
      <x:c r="K20" s="72" t="str">
        <x:v>Vendor-native security controls, SSO, protected or partial backup capabilities</x:v>
      </x:c>
      <x:c r="L20" s="72" t="n">
        <x:v>4</x:v>
      </x:c>
      <x:c r="M20" s="72" t="n">
        <x:v>4</x:v>
      </x:c>
      <x:c r="N20" s="72" t="n">
        <x:f>L20*M20</x:f>
        <x:v>16</x:v>
      </x:c>
      <x:c r="O20" s="72" t="str">
        <x:f>IF(N20&gt;='Methodology &amp; Scales'!$H$8,'Methodology &amp; Scales'!$I$8,IF(N20&gt;='Methodology &amp; Scales'!$H$7,'Methodology &amp; Scales'!$I$7,IF(N20&gt;='Methodology &amp; Scales'!$H$6,'Methodology &amp; Scales'!$I$6,'Methodology &amp; Scales'!$I$5)))</x:f>
        <x:v>High</x:v>
      </x:c>
      <x:c r="P20" s="72" t="n">
        <x:v>3</x:v>
      </x:c>
      <x:c r="Q20" s="72" t="n">
        <x:v>4</x:v>
      </x:c>
      <x:c r="R20" s="72" t="n">
        <x:f>P20*Q20</x:f>
        <x:v>12</x:v>
      </x:c>
      <x:c r="S20" s="72" t="str">
        <x:f>IF(R20&gt;='Methodology &amp; Scales'!$H$8,'Methodology &amp; Scales'!$I$8,IF(R20&gt;='Methodology &amp; Scales'!$H$7,'Methodology &amp; Scales'!$I$7,IF(R20&gt;='Methodology &amp; Scales'!$H$6,'Methodology &amp; Scales'!$I$6,'Methodology &amp; Scales'!$I$5)))</x:f>
        <x:v>High</x:v>
      </x:c>
      <x:c r="T20" s="72" t="str">
        <x:v>Transfer</x:v>
      </x:c>
      <x:c r="U20" s="72" t="str">
        <x:v>Launch tiered vendor reviews; collect assurance reports; document SLAs, breach notice, recovery, and exit requirements.</x:v>
      </x:c>
      <x:c r="V20" s="72" t="str">
        <x:v>Supply Chain &amp; Procurement Manager</x:v>
      </x:c>
      <x:c r="W20" s="75" t="n">
        <x:v>46356</x:v>
      </x:c>
      <x:c r="X20" s="72" t="str">
        <x:v>Treatment Planned</x:v>
      </x:c>
      <x:c r="Y20" s="72" t="str">
        <x:v>GV.SC, ID.RA</x:v>
      </x:c>
      <x:c r="Z20" s="72" t="str">
        <x:v>Track critical-vendor evidence and unresolved contractual gaps.</x:v>
      </x:c>
      <x:c r="AA20" s="75" t="n">
        <x:v>46251</x:v>
      </x:c>
    </x:row>
    <x:row r="21">
      <x:c r="A21" s="72" t="str">
        <x:v>NF-RSK-012</x:v>
      </x:c>
      <x:c r="B21" s="72" t="str">
        <x:v>Cloud &amp; Application Security</x:v>
      </x:c>
      <x:c r="C21" s="72" t="str">
        <x:v>Unauthorized use of remote diagnostics provides access to customer-deployed equipment.</x:v>
      </x:c>
      <x:c r="D21" s="72" t="str">
        <x:v>Stolen support credential, abused remote session, or authorization error</x:v>
      </x:c>
      <x:c r="E21" s="72" t="str">
        <x:v>Powerful remote capabilities require customer-specific authorization and complete session accountability</x:v>
      </x:c>
      <x:c r="F21" s="72" t="str">
        <x:v>NF-AST-032</x:v>
      </x:c>
      <x:c r="G21" s="72" t="str">
        <x:f>IFERROR(VLOOKUP(F21,'Asset Scope'!$A$5:$M$39,2,FALSE),"Asset not found")</x:f>
        <x:v>NovaCare Remote Diagnostics Platform</x:v>
      </x:c>
      <x:c r="H21" s="72" t="str">
        <x:v>NF-AST-002, NF-AST-022</x:v>
      </x:c>
      <x:c r="I21" s="72" t="str">
        <x:f>IFERROR(VLOOKUP(F21,'Asset Scope'!$A$5:$M$39,4,FALSE),"Department not found")</x:f>
        <x:v>Field Services</x:v>
      </x:c>
      <x:c r="J21" s="72" t="str">
        <x:v>Director of Field Services</x:v>
      </x:c>
      <x:c r="K21" s="72" t="str">
        <x:v>Strong authentication, logging, customer authorization requirements</x:v>
      </x:c>
      <x:c r="L21" s="72" t="n">
        <x:v>4</x:v>
      </x:c>
      <x:c r="M21" s="72" t="n">
        <x:v>5</x:v>
      </x:c>
      <x:c r="N21" s="72" t="n">
        <x:f>L21*M21</x:f>
        <x:v>20</x:v>
      </x:c>
      <x:c r="O21" s="72" t="str">
        <x:f>IF(N21&gt;='Methodology &amp; Scales'!$H$8,'Methodology &amp; Scales'!$I$8,IF(N21&gt;='Methodology &amp; Scales'!$H$7,'Methodology &amp; Scales'!$I$7,IF(N21&gt;='Methodology &amp; Scales'!$H$6,'Methodology &amp; Scales'!$I$6,'Methodology &amp; Scales'!$I$5)))</x:f>
        <x:v>Critical</x:v>
      </x:c>
      <x:c r="P21" s="72" t="n">
        <x:v>3</x:v>
      </x:c>
      <x:c r="Q21" s="72" t="n">
        <x:v>5</x:v>
      </x:c>
      <x:c r="R21" s="72" t="n">
        <x:f>P21*Q21</x:f>
        <x:v>15</x:v>
      </x:c>
      <x:c r="S21" s="72" t="str">
        <x:f>IF(R21&gt;='Methodology &amp; Scales'!$H$8,'Methodology &amp; Scales'!$I$8,IF(R21&gt;='Methodology &amp; Scales'!$H$7,'Methodology &amp; Scales'!$I$7,IF(R21&gt;='Methodology &amp; Scales'!$H$6,'Methodology &amp; Scales'!$I$6,'Methodology &amp; Scales'!$I$5)))</x:f>
        <x:v>High</x:v>
      </x:c>
      <x:c r="T21" s="72" t="str">
        <x:v>Mitigate</x:v>
      </x:c>
      <x:c r="U21" s="72" t="str">
        <x:v>Require just-in-time access and customer approval; record sessions; restrict commands; alert on unusual remote activity.</x:v>
      </x:c>
      <x:c r="V21" s="72" t="str">
        <x:v>Director of Field Services</x:v>
      </x:c>
      <x:c r="W21" s="75" t="n">
        <x:v>46295</x:v>
      </x:c>
      <x:c r="X21" s="72" t="str">
        <x:v>Treatment Planned</x:v>
      </x:c>
      <x:c r="Y21" s="72" t="str">
        <x:v>PR.AA, DE.CM, GV.RR</x:v>
      </x:c>
      <x:c r="Z21" s="72" t="str">
        <x:v>Verify approval records, session logs, and emergency access controls.</x:v>
      </x:c>
      <x:c r="AA21" s="75" t="n">
        <x:v>46251</x:v>
      </x:c>
    </x:row>
    <x:row r="22">
      <x:c r="A22" s="72" t="str">
        <x:v>NF-RSK-013</x:v>
      </x:c>
      <x:c r="B22" s="72" t="str">
        <x:v>Security Operations</x:v>
      </x:c>
      <x:c r="C22" s="72" t="str">
        <x:v>Incomplete logging or detection coverage delays identification and containment of attacks.</x:v>
      </x:c>
      <x:c r="D22" s="72" t="str">
        <x:v>Attacker evasion, disabled agents, missing log sources, or alert fatigue</x:v>
      </x:c>
      <x:c r="E22" s="72" t="str">
        <x:v>Monitoring depends on enrollment health and selected application telemetry</x:v>
      </x:c>
      <x:c r="F22" s="72" t="str">
        <x:v>NF-AST-016</x:v>
      </x:c>
      <x:c r="G22" s="72" t="str">
        <x:f>IFERROR(VLOOKUP(F22,'Asset Scope'!$A$5:$M$39,2,FALSE),"Asset not found")</x:f>
        <x:v>Microsoft Sentinel SIEM</x:v>
      </x:c>
      <x:c r="H22" s="72" t="str">
        <x:v>NF-AST-003, NF-AST-012, NF-AST-015</x:v>
      </x:c>
      <x:c r="I22" s="72" t="str">
        <x:f>IFERROR(VLOOKUP(F22,'Asset Scope'!$A$5:$M$39,4,FALSE),"Department not found")</x:f>
        <x:v>Information Security</x:v>
      </x:c>
      <x:c r="J22" s="72" t="str">
        <x:v>Security Manager</x:v>
      </x:c>
      <x:c r="K22" s="72" t="str">
        <x:v>SIEM, endpoint detection, firewall logs, cloud telemetry</x:v>
      </x:c>
      <x:c r="L22" s="72" t="n">
        <x:v>4</x:v>
      </x:c>
      <x:c r="M22" s="72" t="n">
        <x:v>4</x:v>
      </x:c>
      <x:c r="N22" s="72" t="n">
        <x:f>L22*M22</x:f>
        <x:v>16</x:v>
      </x:c>
      <x:c r="O22" s="72" t="str">
        <x:f>IF(N22&gt;='Methodology &amp; Scales'!$H$8,'Methodology &amp; Scales'!$I$8,IF(N22&gt;='Methodology &amp; Scales'!$H$7,'Methodology &amp; Scales'!$I$7,IF(N22&gt;='Methodology &amp; Scales'!$H$6,'Methodology &amp; Scales'!$I$6,'Methodology &amp; Scales'!$I$5)))</x:f>
        <x:v>High</x:v>
      </x:c>
      <x:c r="P22" s="72" t="n">
        <x:v>3</x:v>
      </x:c>
      <x:c r="Q22" s="72" t="n">
        <x:v>4</x:v>
      </x:c>
      <x:c r="R22" s="72" t="n">
        <x:f>P22*Q22</x:f>
        <x:v>12</x:v>
      </x:c>
      <x:c r="S22" s="72" t="str">
        <x:f>IF(R22&gt;='Methodology &amp; Scales'!$H$8,'Methodology &amp; Scales'!$I$8,IF(R22&gt;='Methodology &amp; Scales'!$H$7,'Methodology &amp; Scales'!$I$7,IF(R22&gt;='Methodology &amp; Scales'!$H$6,'Methodology &amp; Scales'!$I$6,'Methodology &amp; Scales'!$I$5)))</x:f>
        <x:v>High</x:v>
      </x:c>
      <x:c r="T22" s="72" t="str">
        <x:v>Mitigate</x:v>
      </x:c>
      <x:c r="U22" s="72" t="str">
        <x:v>Define required log sources and retention; monitor ingestion health; tune priority detections; test escalation workflows.</x:v>
      </x:c>
      <x:c r="V22" s="72" t="str">
        <x:v>Security Analyst</x:v>
      </x:c>
      <x:c r="W22" s="75" t="n">
        <x:v>46326</x:v>
      </x:c>
      <x:c r="X22" s="72" t="str">
        <x:v>Treatment Planned</x:v>
      </x:c>
      <x:c r="Y22" s="72" t="str">
        <x:v>DE.CM, DE.AE, RS.MA</x:v>
      </x:c>
      <x:c r="Z22" s="72" t="str">
        <x:v>Maintain coverage matrix, alert tests, ingestion-health reports, and incident tickets.</x:v>
      </x:c>
      <x:c r="AA22" s="75" t="n">
        <x:v>46251</x:v>
      </x:c>
    </x:row>
    <x:row r="23">
      <x:c r="A23" s="72" t="str">
        <x:v>NF-RSK-014</x:v>
      </x:c>
      <x:c r="B23" s="72" t="str">
        <x:v>Endpoint &amp; Infrastructure</x:v>
      </x:c>
      <x:c r="C23" s="72" t="str">
        <x:v>Incomplete or untested backups prevent timely recovery after deletion, corruption, or ransomware.</x:v>
      </x:c>
      <x:c r="D23" s="72" t="str">
        <x:v>Ransomware, human error, system failure, or malicious deletion</x:v>
      </x:c>
      <x:c r="E23" s="72" t="str">
        <x:v>Several critical user and engineering environments have only partial backup coverage</x:v>
      </x:c>
      <x:c r="F23" s="72" t="str">
        <x:v>NF-AST-001</x:v>
      </x:c>
      <x:c r="G23" s="72" t="str">
        <x:f>IFERROR(VLOOKUP(F23,'Asset Scope'!$A$5:$M$39,2,FALSE),"Asset not found")</x:f>
        <x:v>Microsoft 365 Tenant</x:v>
      </x:c>
      <x:c r="H23" s="72" t="str">
        <x:v>NF-AST-010, NF-AST-018, NF-AST-026</x:v>
      </x:c>
      <x:c r="I23" s="72" t="str">
        <x:f>IFERROR(VLOOKUP(F23,'Asset Scope'!$A$5:$M$39,4,FALSE),"Department not found")</x:f>
        <x:v>Information Technology</x:v>
      </x:c>
      <x:c r="J23" s="72" t="str">
        <x:v>Chief Information Officer (CIO)</x:v>
      </x:c>
      <x:c r="K23" s="72" t="str">
        <x:v>Protected backups for servers and core platforms; some native retention</x:v>
      </x:c>
      <x:c r="L23" s="72" t="n">
        <x:v>4</x:v>
      </x:c>
      <x:c r="M23" s="72" t="n">
        <x:v>5</x:v>
      </x:c>
      <x:c r="N23" s="72" t="n">
        <x:f>L23*M23</x:f>
        <x:v>20</x:v>
      </x:c>
      <x:c r="O23" s="72" t="str">
        <x:f>IF(N23&gt;='Methodology &amp; Scales'!$H$8,'Methodology &amp; Scales'!$I$8,IF(N23&gt;='Methodology &amp; Scales'!$H$7,'Methodology &amp; Scales'!$I$7,IF(N23&gt;='Methodology &amp; Scales'!$H$6,'Methodology &amp; Scales'!$I$6,'Methodology &amp; Scales'!$I$5)))</x:f>
        <x:v>Critical</x:v>
      </x:c>
      <x:c r="P23" s="72" t="n">
        <x:v>3</x:v>
      </x:c>
      <x:c r="Q23" s="72" t="n">
        <x:v>4</x:v>
      </x:c>
      <x:c r="R23" s="72" t="n">
        <x:f>P23*Q23</x:f>
        <x:v>12</x:v>
      </x:c>
      <x:c r="S23" s="72" t="str">
        <x:f>IF(R23&gt;='Methodology &amp; Scales'!$H$8,'Methodology &amp; Scales'!$I$8,IF(R23&gt;='Methodology &amp; Scales'!$H$7,'Methodology &amp; Scales'!$I$7,IF(R23&gt;='Methodology &amp; Scales'!$H$6,'Methodology &amp; Scales'!$I$6,'Methodology &amp; Scales'!$I$5)))</x:f>
        <x:v>High</x:v>
      </x:c>
      <x:c r="T23" s="72" t="str">
        <x:v>Mitigate</x:v>
      </x:c>
      <x:c r="U23" s="72" t="str">
        <x:v>Define backup tiers; close partial-coverage gaps; isolate backups; perform quarterly restore tests against RTO/RPO.</x:v>
      </x:c>
      <x:c r="V23" s="72" t="str">
        <x:v>Systems &amp; Cloud Administration</x:v>
      </x:c>
      <x:c r="W23" s="75" t="n">
        <x:v>46326</x:v>
      </x:c>
      <x:c r="X23" s="72" t="str">
        <x:v>Treatment Planned</x:v>
      </x:c>
      <x:c r="Y23" s="72" t="str">
        <x:v>PR.DS, RC.RP</x:v>
      </x:c>
      <x:c r="Z23" s="72" t="str">
        <x:v>Produce backup inventory, exception log, and restoration-test evidence.</x:v>
      </x:c>
      <x:c r="AA23" s="75" t="n">
        <x:v>46251</x:v>
      </x:c>
    </x:row>
    <x:row r="24">
      <x:c r="A24" s="72" t="str">
        <x:v>NF-RSK-015</x:v>
      </x:c>
      <x:c r="B24" s="72" t="str">
        <x:v>Endpoint &amp; Infrastructure</x:v>
      </x:c>
      <x:c r="C24" s="72" t="str">
        <x:v>Delayed patching of infrastructure or maintenance-stage systems enables exploitation.</x:v>
      </x:c>
      <x:c r="D24" s="72" t="str">
        <x:v>External or internal attacker exploits known vulnerabilities</x:v>
      </x:c>
      <x:c r="E24" s="72" t="str">
        <x:v>Operational constraints and maintenance windows can delay remediation</x:v>
      </x:c>
      <x:c r="F24" s="72" t="str">
        <x:v>NF-AST-011</x:v>
      </x:c>
      <x:c r="G24" s="72" t="str">
        <x:f>IFERROR(VLOOKUP(F24,'Asset Scope'!$A$5:$M$39,2,FALSE),"Asset not found")</x:f>
        <x:v>Linux Server Cluster</x:v>
      </x:c>
      <x:c r="H24" s="72" t="str">
        <x:v>NF-AST-012, NF-AST-014, NF-AST-019</x:v>
      </x:c>
      <x:c r="I24" s="72" t="str">
        <x:f>IFERROR(VLOOKUP(F24,'Asset Scope'!$A$5:$M$39,4,FALSE),"Department not found")</x:f>
        <x:v>Information Technology</x:v>
      </x:c>
      <x:c r="J24" s="72" t="str">
        <x:v>IT Manager</x:v>
      </x:c>
      <x:c r="K24" s="72" t="str">
        <x:v>Endpoint visibility, maintenance processes, perimeter controls</x:v>
      </x:c>
      <x:c r="L24" s="72" t="n">
        <x:v>4</x:v>
      </x:c>
      <x:c r="M24" s="72" t="n">
        <x:v>4</x:v>
      </x:c>
      <x:c r="N24" s="72" t="n">
        <x:f>L24*M24</x:f>
        <x:v>16</x:v>
      </x:c>
      <x:c r="O24" s="72" t="str">
        <x:f>IF(N24&gt;='Methodology &amp; Scales'!$H$8,'Methodology &amp; Scales'!$I$8,IF(N24&gt;='Methodology &amp; Scales'!$H$7,'Methodology &amp; Scales'!$I$7,IF(N24&gt;='Methodology &amp; Scales'!$H$6,'Methodology &amp; Scales'!$I$6,'Methodology &amp; Scales'!$I$5)))</x:f>
        <x:v>High</x:v>
      </x:c>
      <x:c r="P24" s="72" t="n">
        <x:v>3</x:v>
      </x:c>
      <x:c r="Q24" s="72" t="n">
        <x:v>4</x:v>
      </x:c>
      <x:c r="R24" s="72" t="n">
        <x:f>P24*Q24</x:f>
        <x:v>12</x:v>
      </x:c>
      <x:c r="S24" s="72" t="str">
        <x:f>IF(R24&gt;='Methodology &amp; Scales'!$H$8,'Methodology &amp; Scales'!$I$8,IF(R24&gt;='Methodology &amp; Scales'!$H$7,'Methodology &amp; Scales'!$I$7,IF(R24&gt;='Methodology &amp; Scales'!$H$6,'Methodology &amp; Scales'!$I$6,'Methodology &amp; Scales'!$I$5)))</x:f>
        <x:v>High</x:v>
      </x:c>
      <x:c r="T24" s="72" t="str">
        <x:v>Mitigate</x:v>
      </x:c>
      <x:c r="U24" s="72" t="str">
        <x:v>Set severity-based patch SLAs; track exceptions; scan routinely; prioritize internet-facing and privileged systems.</x:v>
      </x:c>
      <x:c r="V24" s="72" t="str">
        <x:v>IT Manager</x:v>
      </x:c>
      <x:c r="W24" s="75" t="n">
        <x:v>46356</x:v>
      </x:c>
      <x:c r="X24" s="72" t="str">
        <x:v>Treatment Planned</x:v>
      </x:c>
      <x:c r="Y24" s="72" t="str">
        <x:v>ID.RA, PR.PS</x:v>
      </x:c>
      <x:c r="Z24" s="72" t="str">
        <x:v>Review vulnerability age, patch compliance, and exception approvals.</x:v>
      </x:c>
      <x:c r="AA24" s="75" t="n">
        <x:v>46251</x:v>
      </x:c>
    </x:row>
    <x:row r="25">
      <x:c r="A25" s="72" t="str">
        <x:v>NF-RSK-016</x:v>
      </x:c>
      <x:c r="B25" s="72" t="str">
        <x:v>Cloud &amp; Application Security</x:v>
      </x:c>
      <x:c r="C25" s="72" t="str">
        <x:v>Corporate website compromise enables defacement, malicious redirects, or brand impersonation.</x:v>
      </x:c>
      <x:c r="D25" s="72" t="str">
        <x:v>CMS exploit, stolen publisher credential, or vulnerable plugin</x:v>
      </x:c>
      <x:c r="E25" s="72" t="str">
        <x:v>Public exposure and reliance on managed hosting and administrative accounts</x:v>
      </x:c>
      <x:c r="F25" s="72" t="str">
        <x:v>NF-AST-009</x:v>
      </x:c>
      <x:c r="G25" s="72" t="str">
        <x:f>IFERROR(VLOOKUP(F25,'Asset Scope'!$A$5:$M$39,2,FALSE),"Asset not found")</x:f>
        <x:v>NovaForge Corporate Website</x:v>
      </x:c>
      <x:c r="H25" s="72" t="str"/>
      <x:c r="I25" s="72" t="str">
        <x:f>IFERROR(VLOOKUP(F25,'Asset Scope'!$A$5:$M$39,4,FALSE),"Department not found")</x:f>
        <x:v>Sales &amp; Customer Success</x:v>
      </x:c>
      <x:c r="J25" s="72" t="str">
        <x:v>VP of Sales &amp; Customer Success</x:v>
      </x:c>
      <x:c r="K25" s="72" t="str">
        <x:v>MFA, restricted publishing rights, managed hosting backup</x:v>
      </x:c>
      <x:c r="L25" s="72" t="n">
        <x:v>4</x:v>
      </x:c>
      <x:c r="M25" s="72" t="n">
        <x:v>3</x:v>
      </x:c>
      <x:c r="N25" s="72" t="n">
        <x:f>L25*M25</x:f>
        <x:v>12</x:v>
      </x:c>
      <x:c r="O25" s="72" t="str">
        <x:f>IF(N25&gt;='Methodology &amp; Scales'!$H$8,'Methodology &amp; Scales'!$I$8,IF(N25&gt;='Methodology &amp; Scales'!$H$7,'Methodology &amp; Scales'!$I$7,IF(N25&gt;='Methodology &amp; Scales'!$H$6,'Methodology &amp; Scales'!$I$6,'Methodology &amp; Scales'!$I$5)))</x:f>
        <x:v>High</x:v>
      </x:c>
      <x:c r="P25" s="72" t="n">
        <x:v>2</x:v>
      </x:c>
      <x:c r="Q25" s="72" t="n">
        <x:v>3</x:v>
      </x:c>
      <x:c r="R25" s="72" t="n">
        <x:f>P25*Q25</x:f>
        <x:v>6</x:v>
      </x:c>
      <x:c r="S25" s="72" t="str">
        <x:f>IF(R25&gt;='Methodology &amp; Scales'!$H$8,'Methodology &amp; Scales'!$I$8,IF(R25&gt;='Methodology &amp; Scales'!$H$7,'Methodology &amp; Scales'!$I$7,IF(R25&gt;='Methodology &amp; Scales'!$H$6,'Methodology &amp; Scales'!$I$6,'Methodology &amp; Scales'!$I$5)))</x:f>
        <x:v>Moderate</x:v>
      </x:c>
      <x:c r="T25" s="72" t="str">
        <x:v>Accept</x:v>
      </x:c>
      <x:c r="U25" s="72" t="str">
        <x:v>Maintain managed patching, WAF monitoring, MFA, integrity monitoring, and an expedited content-recovery procedure.</x:v>
      </x:c>
      <x:c r="V25" s="72" t="str">
        <x:v>Systems &amp; Cloud Administration</x:v>
      </x:c>
      <x:c r="W25" s="75" t="n">
        <x:v>46418</x:v>
      </x:c>
      <x:c r="X25" s="72" t="str">
        <x:v>Accepted</x:v>
      </x:c>
      <x:c r="Y25" s="72" t="str">
        <x:v>PR.AA, PR.PS, DE.CM</x:v>
      </x:c>
      <x:c r="Z25" s="72" t="str">
        <x:v>Document acceptance rationale and monitor hosting security notices.</x:v>
      </x:c>
      <x:c r="AA25" s="75" t="n">
        <x:v>46251</x:v>
      </x:c>
    </x:row>
    <x:row r="26">
      <x:c r="A26" s="72" t="str">
        <x:v>NF-RSK-017</x:v>
      </x:c>
      <x:c r="B26" s="72" t="str">
        <x:v>Data Protection &amp; Privacy</x:v>
      </x:c>
      <x:c r="C26" s="72" t="str">
        <x:v>Telemetry retention or integrity failures undermine operations, investigations, and product decisions.</x:v>
      </x:c>
      <x:c r="D26" s="72" t="str">
        <x:v>Data-pipeline error, unauthorized modification, excessive retention, or incomplete deletion</x:v>
      </x:c>
      <x:c r="E26" s="72" t="str">
        <x:v>Retention requirements and authoritative-source rules are not fully defined</x:v>
      </x:c>
      <x:c r="F26" s="72" t="str">
        <x:v>NF-AST-035</x:v>
      </x:c>
      <x:c r="G26" s="72" t="str">
        <x:f>IFERROR(VLOOKUP(F26,'Asset Scope'!$A$5:$M$39,2,FALSE),"Asset not found")</x:f>
        <x:v>Manufacturing and Robotics Telemetry</x:v>
      </x:c>
      <x:c r="H26" s="72" t="str">
        <x:v>NF-AST-021, NF-AST-031</x:v>
      </x:c>
      <x:c r="I26" s="72" t="str">
        <x:f>IFERROR(VLOOKUP(F26,'Asset Scope'!$A$5:$M$39,4,FALSE),"Department not found")</x:f>
        <x:v>Manufacturing Operations</x:v>
      </x:c>
      <x:c r="J26" s="72" t="str">
        <x:v>Chief Technology Officer (CTO)</x:v>
      </x:c>
      <x:c r="K26" s="72" t="str">
        <x:v>Protected cloud storage, application monitoring, restricted access</x:v>
      </x:c>
      <x:c r="L26" s="72" t="n">
        <x:v>3</x:v>
      </x:c>
      <x:c r="M26" s="72" t="n">
        <x:v>4</x:v>
      </x:c>
      <x:c r="N26" s="72" t="n">
        <x:f>L26*M26</x:f>
        <x:v>12</x:v>
      </x:c>
      <x:c r="O26" s="72" t="str">
        <x:f>IF(N26&gt;='Methodology &amp; Scales'!$H$8,'Methodology &amp; Scales'!$I$8,IF(N26&gt;='Methodology &amp; Scales'!$H$7,'Methodology &amp; Scales'!$I$7,IF(N26&gt;='Methodology &amp; Scales'!$H$6,'Methodology &amp; Scales'!$I$6,'Methodology &amp; Scales'!$I$5)))</x:f>
        <x:v>High</x:v>
      </x:c>
      <x:c r="P26" s="72" t="n">
        <x:v>2</x:v>
      </x:c>
      <x:c r="Q26" s="72" t="n">
        <x:v>3</x:v>
      </x:c>
      <x:c r="R26" s="72" t="n">
        <x:f>P26*Q26</x:f>
        <x:v>6</x:v>
      </x:c>
      <x:c r="S26" s="72" t="str">
        <x:f>IF(R26&gt;='Methodology &amp; Scales'!$H$8,'Methodology &amp; Scales'!$I$8,IF(R26&gt;='Methodology &amp; Scales'!$H$7,'Methodology &amp; Scales'!$I$7,IF(R26&gt;='Methodology &amp; Scales'!$H$6,'Methodology &amp; Scales'!$I$6,'Methodology &amp; Scales'!$I$5)))</x:f>
        <x:v>Moderate</x:v>
      </x:c>
      <x:c r="T26" s="72" t="str">
        <x:v>Mitigate</x:v>
      </x:c>
      <x:c r="U26" s="72" t="str">
        <x:v>Approve retention schedule; validate integrity checks; separate raw and curated data; monitor pipeline completeness.</x:v>
      </x:c>
      <x:c r="V26" s="72" t="str">
        <x:v>Robotics Testing</x:v>
      </x:c>
      <x:c r="W26" s="75" t="n">
        <x:v>46418</x:v>
      </x:c>
      <x:c r="X26" s="72" t="str">
        <x:v>Monitoring</x:v>
      </x:c>
      <x:c r="Y26" s="72" t="str">
        <x:v>ID.AM, PR.DS, DE.CM</x:v>
      </x:c>
      <x:c r="Z26" s="72" t="str">
        <x:v>Retain approved schedule, integrity-test results, and pipeline monitoring reports.</x:v>
      </x:c>
      <x:c r="AA26" s="75" t="n">
        <x:v>46251</x:v>
      </x:c>
    </x:row>
    <x:row r="27">
      <x:c r="A27" s="72" t="str">
        <x:v>NF-RSK-018</x:v>
      </x:c>
      <x:c r="B27" s="72" t="str">
        <x:v>Business Resilience &amp; Fraud</x:v>
      </x:c>
      <x:c r="C27" s="72" t="str">
        <x:v>Business email compromise causes fraudulent payment or unauthorized financial change.</x:v>
      </x:c>
      <x:c r="D27" s="72" t="str">
        <x:v>Executive impersonation, vendor-email compromise, or stolen mailbox session</x:v>
      </x:c>
      <x:c r="E27" s="72" t="str">
        <x:v>Payment changes rely on communication channels exposed to social engineering</x:v>
      </x:c>
      <x:c r="F27" s="72" t="str">
        <x:v>NF-AST-001</x:v>
      </x:c>
      <x:c r="G27" s="72" t="str">
        <x:f>IFERROR(VLOOKUP(F27,'Asset Scope'!$A$5:$M$39,2,FALSE),"Asset not found")</x:f>
        <x:v>Microsoft 365 Tenant</x:v>
      </x:c>
      <x:c r="H27" s="72" t="str">
        <x:v>NF-AST-030</x:v>
      </x:c>
      <x:c r="I27" s="72" t="str">
        <x:f>IFERROR(VLOOKUP(F27,'Asset Scope'!$A$5:$M$39,4,FALSE),"Department not found")</x:f>
        <x:v>Information Technology</x:v>
      </x:c>
      <x:c r="J27" s="72" t="str">
        <x:v>Chief Financial Officer (CFO)</x:v>
      </x:c>
      <x:c r="K27" s="72" t="str">
        <x:v>MFA, email security, financial approval workflow</x:v>
      </x:c>
      <x:c r="L27" s="72" t="n">
        <x:v>4</x:v>
      </x:c>
      <x:c r="M27" s="72" t="n">
        <x:v>5</x:v>
      </x:c>
      <x:c r="N27" s="72" t="n">
        <x:f>L27*M27</x:f>
        <x:v>20</x:v>
      </x:c>
      <x:c r="O27" s="72" t="str">
        <x:f>IF(N27&gt;='Methodology &amp; Scales'!$H$8,'Methodology &amp; Scales'!$I$8,IF(N27&gt;='Methodology &amp; Scales'!$H$7,'Methodology &amp; Scales'!$I$7,IF(N27&gt;='Methodology &amp; Scales'!$H$6,'Methodology &amp; Scales'!$I$6,'Methodology &amp; Scales'!$I$5)))</x:f>
        <x:v>Critical</x:v>
      </x:c>
      <x:c r="P27" s="72" t="n">
        <x:v>3</x:v>
      </x:c>
      <x:c r="Q27" s="72" t="n">
        <x:v>4</x:v>
      </x:c>
      <x:c r="R27" s="72" t="n">
        <x:f>P27*Q27</x:f>
        <x:v>12</x:v>
      </x:c>
      <x:c r="S27" s="72" t="str">
        <x:f>IF(R27&gt;='Methodology &amp; Scales'!$H$8,'Methodology &amp; Scales'!$I$8,IF(R27&gt;='Methodology &amp; Scales'!$H$7,'Methodology &amp; Scales'!$I$7,IF(R27&gt;='Methodology &amp; Scales'!$H$6,'Methodology &amp; Scales'!$I$6,'Methodology &amp; Scales'!$I$5)))</x:f>
        <x:v>High</x:v>
      </x:c>
      <x:c r="T27" s="72" t="str">
        <x:v>Mitigate</x:v>
      </x:c>
      <x:c r="U27" s="72" t="str">
        <x:v>Require out-of-band verification for payment changes; deploy anti-impersonation controls; train finance and executives.</x:v>
      </x:c>
      <x:c r="V27" s="72" t="str">
        <x:v>Chief Financial Officer (CFO)</x:v>
      </x:c>
      <x:c r="W27" s="75" t="n">
        <x:v>46310</x:v>
      </x:c>
      <x:c r="X27" s="72" t="str">
        <x:v>Treatment Planned</x:v>
      </x:c>
      <x:c r="Y27" s="72" t="str">
        <x:v>PR.AA, PR.AT, DE.CM</x:v>
      </x:c>
      <x:c r="Z27" s="72" t="str">
        <x:v>Test payment-change samples, impersonation alerts, and training completion.</x:v>
      </x:c>
      <x:c r="AA27" s="75" t="n">
        <x:v>46251</x:v>
      </x:c>
    </x:row>
    <x:row r="28">
      <x:c r="A28" s="72" t="str">
        <x:v>NF-RSK-019</x:v>
      </x:c>
      <x:c r="B28" s="72" t="str">
        <x:v>Operational Technology</x:v>
      </x:c>
      <x:c r="C28" s="72" t="str">
        <x:v>Malware introduced through an OT engineering workstation or removable media disrupts controllers.</x:v>
      </x:c>
      <x:c r="D28" s="72" t="str">
        <x:v>Infected USB device, maintenance laptop, or engineering download</x:v>
      </x:c>
      <x:c r="E28" s="72" t="str">
        <x:v>Privileged OT workstations require software flexibility and interact directly with controllers</x:v>
      </x:c>
      <x:c r="F28" s="72" t="str">
        <x:v>NF-AST-024</x:v>
      </x:c>
      <x:c r="G28" s="72" t="str">
        <x:f>IFERROR(VLOOKUP(F28,'Asset Scope'!$A$5:$M$39,2,FALSE),"Asset not found")</x:f>
        <x:v>OT Engineering Workstations</x:v>
      </x:c>
      <x:c r="H28" s="72" t="str">
        <x:v>NF-AST-023, NF-AST-026</x:v>
      </x:c>
      <x:c r="I28" s="72" t="str">
        <x:f>IFERROR(VLOOKUP(F28,'Asset Scope'!$A$5:$M$39,4,FALSE),"Department not found")</x:f>
        <x:v>Manufacturing Operations</x:v>
      </x:c>
      <x:c r="J28" s="72" t="str">
        <x:v>Chief Operating Officer (COO)</x:v>
      </x:c>
      <x:c r="K28" s="72" t="str">
        <x:v>Endpoint controls, segmented OT network, controlled engineering access</x:v>
      </x:c>
      <x:c r="L28" s="72" t="n">
        <x:v>4</x:v>
      </x:c>
      <x:c r="M28" s="72" t="n">
        <x:v>5</x:v>
      </x:c>
      <x:c r="N28" s="72" t="n">
        <x:f>L28*M28</x:f>
        <x:v>20</x:v>
      </x:c>
      <x:c r="O28" s="72" t="str">
        <x:f>IF(N28&gt;='Methodology &amp; Scales'!$H$8,'Methodology &amp; Scales'!$I$8,IF(N28&gt;='Methodology &amp; Scales'!$H$7,'Methodology &amp; Scales'!$I$7,IF(N28&gt;='Methodology &amp; Scales'!$H$6,'Methodology &amp; Scales'!$I$6,'Methodology &amp; Scales'!$I$5)))</x:f>
        <x:v>Critical</x:v>
      </x:c>
      <x:c r="P28" s="72" t="n">
        <x:v>2</x:v>
      </x:c>
      <x:c r="Q28" s="72" t="n">
        <x:v>5</x:v>
      </x:c>
      <x:c r="R28" s="72" t="n">
        <x:f>P28*Q28</x:f>
        <x:v>10</x:v>
      </x:c>
      <x:c r="S28" s="72" t="str">
        <x:f>IF(R28&gt;='Methodology &amp; Scales'!$H$8,'Methodology &amp; Scales'!$I$8,IF(R28&gt;='Methodology &amp; Scales'!$H$7,'Methodology &amp; Scales'!$I$7,IF(R28&gt;='Methodology &amp; Scales'!$H$6,'Methodology &amp; Scales'!$I$6,'Methodology &amp; Scales'!$I$5)))</x:f>
        <x:v>High</x:v>
      </x:c>
      <x:c r="T28" s="72" t="str">
        <x:v>Mitigate</x:v>
      </x:c>
      <x:c r="U28" s="72" t="str">
        <x:v>Enforce removable-media scanning and allow-listing; use dedicated transfer stations; harden and monitor OT workstations.</x:v>
      </x:c>
      <x:c r="V28" s="72" t="str">
        <x:v>Robotics Testing</x:v>
      </x:c>
      <x:c r="W28" s="75" t="n">
        <x:v>46310</x:v>
      </x:c>
      <x:c r="X28" s="72" t="str">
        <x:v>Treatment Planned</x:v>
      </x:c>
      <x:c r="Y28" s="72" t="str">
        <x:v>PR.PS, PR.AT, DE.CM</x:v>
      </x:c>
      <x:c r="Z28" s="72" t="str">
        <x:v>Inspect media logs, workstation baselines, and transfer-station procedures.</x:v>
      </x:c>
      <x:c r="AA28" s="75" t="n">
        <x:v>46251</x:v>
      </x:c>
    </x:row>
    <x:row r="29">
      <x:c r="A29" s="73" t="str">
        <x:v>NF-RSK-020</x:v>
      </x:c>
      <x:c r="B29" s="73" t="str">
        <x:v>Operational Technology</x:v>
      </x:c>
      <x:c r="C29" s="73" t="str">
        <x:v>Segmentation failure permits lateral movement between corporate and manufacturing networks.</x:v>
      </x:c>
      <x:c r="D29" s="73" t="str">
        <x:v>Compromised corporate endpoint or unauthorized network change</x:v>
      </x:c>
      <x:c r="E29" s="73" t="str">
        <x:v>Interconnections depend on correctly maintained firewall rules and network architecture</x:v>
      </x:c>
      <x:c r="F29" s="73" t="str">
        <x:v>NF-AST-025</x:v>
      </x:c>
      <x:c r="G29" s="73" t="str">
        <x:f>IFERROR(VLOOKUP(F29,'Asset Scope'!$A$5:$M$39,2,FALSE),"Asset not found")</x:f>
        <x:v>Manufacturing OT Network</x:v>
      </x:c>
      <x:c r="H29" s="73" t="str">
        <x:v>NF-AST-012, NF-AST-014</x:v>
      </x:c>
      <x:c r="I29" s="73" t="str">
        <x:f>IFERROR(VLOOKUP(F29,'Asset Scope'!$A$5:$M$39,4,FALSE),"Department not found")</x:f>
        <x:v>Manufacturing Operations</x:v>
      </x:c>
      <x:c r="J29" s="73" t="str">
        <x:v>Chief Information Officer (CIO)</x:v>
      </x:c>
      <x:c r="K29" s="73" t="str">
        <x:v>Firewalling, separate network segments, approved interconnections</x:v>
      </x:c>
      <x:c r="L29" s="73" t="n">
        <x:v>4</x:v>
      </x:c>
      <x:c r="M29" s="73" t="n">
        <x:v>5</x:v>
      </x:c>
      <x:c r="N29" s="73" t="n">
        <x:f>L29*M29</x:f>
        <x:v>20</x:v>
      </x:c>
      <x:c r="O29" s="73" t="str">
        <x:f>IF(N29&gt;='Methodology &amp; Scales'!$H$8,'Methodology &amp; Scales'!$I$8,IF(N29&gt;='Methodology &amp; Scales'!$H$7,'Methodology &amp; Scales'!$I$7,IF(N29&gt;='Methodology &amp; Scales'!$H$6,'Methodology &amp; Scales'!$I$6,'Methodology &amp; Scales'!$I$5)))</x:f>
        <x:v>Critical</x:v>
      </x:c>
      <x:c r="P29" s="73" t="n">
        <x:v>3</x:v>
      </x:c>
      <x:c r="Q29" s="73" t="n">
        <x:v>5</x:v>
      </x:c>
      <x:c r="R29" s="73" t="n">
        <x:f>P29*Q29</x:f>
        <x:v>15</x:v>
      </x:c>
      <x:c r="S29" s="73" t="str">
        <x:f>IF(R29&gt;='Methodology &amp; Scales'!$H$8,'Methodology &amp; Scales'!$I$8,IF(R29&gt;='Methodology &amp; Scales'!$H$7,'Methodology &amp; Scales'!$I$7,IF(R29&gt;='Methodology &amp; Scales'!$H$6,'Methodology &amp; Scales'!$I$6,'Methodology &amp; Scales'!$I$5)))</x:f>
        <x:v>High</x:v>
      </x:c>
      <x:c r="T29" s="73" t="str">
        <x:v>Mitigate</x:v>
      </x:c>
      <x:c r="U29" s="73" t="str">
        <x:v>Document conduits; deny by default; review rules quarterly; validate segmentation with controlled testing and monitoring.</x:v>
      </x:c>
      <x:c r="V29" s="73" t="str">
        <x:v>Network Administration</x:v>
      </x:c>
      <x:c r="W29" s="76" t="n">
        <x:v>46295</x:v>
      </x:c>
      <x:c r="X29" s="73" t="str">
        <x:v>Treatment Planned</x:v>
      </x:c>
      <x:c r="Y29" s="73" t="str">
        <x:v>PR.IR, DE.CM, GV.RR</x:v>
      </x:c>
      <x:c r="Z29" s="73" t="str">
        <x:v>Retain network diagrams, rule reviews, and segmentation-test results.</x:v>
      </x:c>
      <x:c r="AA29" s="76" t="n">
        <x:v>46251</x:v>
      </x:c>
    </x:row>
  </x:sheetData>
  <x:mergeCells>
    <x:mergeCell ref="L4:R5"/>
    <x:mergeCell ref="T4:AA5"/>
  </x:mergeCells>
  <x:conditionalFormatting sqref="O10:O29">
    <x:cfRule type="containsText" dxfId="0" priority="1" operator="containsText" text="Critical"/>
    <x:cfRule type="containsText" dxfId="1" priority="2" operator="containsText" text="High"/>
    <x:cfRule type="containsText" dxfId="2" priority="3" operator="containsText" text="Moderate"/>
    <x:cfRule type="containsText" dxfId="3" priority="4" operator="containsText" text="Low"/>
  </x:conditionalFormatting>
  <x:conditionalFormatting sqref="S10:S29">
    <x:cfRule type="containsText" dxfId="4" priority="5" operator="containsText" text="Critical"/>
    <x:cfRule type="containsText" dxfId="5" priority="6" operator="containsText" text="High"/>
    <x:cfRule type="containsText" dxfId="6" priority="7" operator="containsText" text="Moderate"/>
    <x:cfRule type="containsText" dxfId="7" priority="8" operator="containsText" text="Low"/>
  </x:conditionalFormatting>
  <x:conditionalFormatting sqref="N10:N29">
    <x:cfRule type="dataBar" priority="9">
      <x:dataBar>
        <x:cfvo type="min"/>
        <x:cfvo type="max"/>
        <x:color rgb="FF124A82"/>
      </x:dataBar>
      <x:extLst>
        <x:ext xmlns:x14="http://schemas.microsoft.com/office/spreadsheetml/2009/9/main" uri="{B025F937-C7B1-47D3-B67F-A62EFF666E3E}">
          <x14:id>{B1FD28B5-E9AA-47F8-EDF7-EA6B8131143F}</x14:id>
        </x:ext>
      </x:extLst>
    </x:cfRule>
  </x:conditionalFormatting>
  <x:conditionalFormatting sqref="R10:R29">
    <x:cfRule type="dataBar" priority="10">
      <x:dataBar>
        <x:cfvo type="min"/>
        <x:cfvo type="max"/>
        <x:color rgb="FF61AA8A"/>
      </x:dataBar>
      <x:extLst>
        <x:ext xmlns:x14="http://schemas.microsoft.com/office/spreadsheetml/2009/9/main" uri="{B025F937-C7B1-47D3-B67F-A62EFF666E3E}">
          <x14:id>{71539D3C-B61A-50F3-38C1-3DA9AFBA7A47}</x14:id>
        </x:ext>
      </x:extLst>
    </x:cfRule>
  </x:conditionalFormatting>
  <x:dataValidations count="5">
    <x:dataValidation type="whole" operator="between" sqref="L10:M29">
      <x:formula1>1</x:formula1>
      <x:formula2>5</x:formula2>
    </x:dataValidation>
    <x:dataValidation type="whole" operator="between" sqref="P10:Q29">
      <x:formula1>1</x:formula1>
      <x:formula2>5</x:formula2>
    </x:dataValidation>
    <x:dataValidation type="list" sqref="B10:B29">
      <x:formula1>"Identity &amp; Access,Cloud &amp; Application Security,Endpoint &amp; Infrastructure,Software &amp; Product Security,Operational Technology,Data Protection &amp; Privacy,Third-Party Risk,Security Operations,Business Resilience &amp; Fraud"</x:formula1>
    </x:dataValidation>
    <x:dataValidation type="list" sqref="T10:T29">
      <x:formula1>"Mitigate,Transfer,Avoid,Accept"</x:formula1>
    </x:dataValidation>
    <x:dataValidation type="list" sqref="X10:X29">
      <x:formula1>"Open,Treatment Planned,In Progress,Monitoring,Accepted,Closed"</x:formula1>
    </x:dataValidation>
  </x:dataValidations>
  <x:pageMargins left="0.7" right="0.7" top="0.75" bottom="0.75" header="0.3" footer="0.3"/>
  <x:legacyDrawing xmlns:r="http://schemas.openxmlformats.org/officeDocument/2006/relationships" r:id="R3a1e7c9006d14853"/>
  <x:extLst>
    <x:ext xmlns:x14="http://schemas.microsoft.com/office/spreadsheetml/2009/9/main" xmlns:xm="http://schemas.microsoft.com/office/excel/2006/main" uri="{78C0D931-6437-407d-A8EE-F0AAD7539E65}">
      <x14:conditionalFormattings>
        <x14:conditionalFormatting>
          <x14:cfRule type="dataBar" priority="9" id="{B1FD28B5-E9AA-47F8-EDF7-EA6B8131143F}">
            <x14:dataBar gradient="1">
              <x14:cfvo type="min"/>
              <x14:cfvo type="max"/>
              <x14:fillColor rgb="FF124A82"/>
            </x14:dataBar>
          </x14:cfRule>
          <xm:sqref>N10:N29</xm:sqref>
        </x14:conditionalFormatting>
        <x14:conditionalFormatting>
          <x14:cfRule type="dataBar" priority="10" id="{71539D3C-B61A-50F3-38C1-3DA9AFBA7A47}">
            <x14:dataBar gradient="1">
              <x14:cfvo type="min"/>
              <x14:cfvo type="max"/>
              <x14:fillColor rgb="FF61AA8A"/>
            </x14:dataBar>
          </x14:cfRule>
          <xm:sqref>R10:R29</xm:sqref>
        </x14:conditionalFormatting>
      </x14:conditionalFormattings>
    </x:ext>
  </x:extLst>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8"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s>
  <x:sheetData>
    <x:row r="1">
      <x:c r="A1" s="3" t="str">
        <x:v>NF-GRC-005 — Executive Risk Summary</x:v>
      </x:c>
      <x:c r="B1" s="1"/>
      <x:c r="C1" s="1"/>
      <x:c r="D1" s="1"/>
      <x:c r="E1" s="1"/>
      <x:c r="F1" s="1"/>
      <x:c r="G1" s="1"/>
      <x:c r="H1" s="1"/>
      <x:c r="I1" s="1"/>
      <x:c r="J1" s="1"/>
      <x:c r="K1" s="1"/>
      <x:c r="L1" s="1"/>
      <x:c r="M1" s="1"/>
      <x:c r="N1" s="1"/>
    </x:row>
    <x:row r="2">
      <x:c r="A2" s="6" t="str">
        <x:v>Management view of prioritized inherent and residual cybersecurity risk</x:v>
      </x:c>
      <x:c r="B2" s="4"/>
      <x:c r="C2" s="4"/>
      <x:c r="D2" s="4"/>
      <x:c r="E2" s="4"/>
      <x:c r="F2" s="4"/>
      <x:c r="G2" s="4"/>
      <x:c r="H2" s="4"/>
      <x:c r="I2" s="4"/>
      <x:c r="J2" s="4"/>
      <x:c r="K2" s="4"/>
      <x:c r="L2" s="4"/>
      <x:c r="M2" s="4"/>
      <x:c r="N2" s="4"/>
    </x:row>
    <x:row r="4">
      <x:c r="A4" s="162" t="str">
        <x:v>TOTAL RISKS</x:v>
      </x:c>
      <x:c r="B4" s="163"/>
      <x:c r="D4" s="93" t="str">
        <x:v>ABOVE APPETITE</x:v>
      </x:c>
      <x:c r="E4" s="95"/>
      <x:c r="G4" s="84" t="str">
        <x:v>RESIDUAL CRITICAL</x:v>
      </x:c>
      <x:c r="H4" s="86"/>
      <x:c r="J4" s="61" t="str">
        <x:v>ASSETS COVERED</x:v>
      </x:c>
      <x:c r="K4" s="63"/>
    </x:row>
    <x:row r="5" ht="34" customHeight="1">
      <x:c r="A5" s="174" t="n">
        <x:f>COUNTA('Risk Register'!$A$10:$A$29)</x:f>
        <x:v>20</x:v>
      </x:c>
      <x:c r="B5" s="175"/>
      <x:c r="D5" s="174" t="n">
        <x:f>COUNTIF('Risk Register'!$S$10:$S$29,"High")+COUNTIF('Risk Register'!$S$10:$S$29,"Critical")</x:f>
        <x:v>16</x:v>
      </x:c>
      <x:c r="E5" s="175"/>
      <x:c r="G5" s="174" t="n">
        <x:f>COUNTIF('Risk Register'!$S$10:$S$29,"Critical")</x:f>
        <x:v>0</x:v>
      </x:c>
      <x:c r="H5" s="175"/>
      <x:c r="J5" s="174" t="str">
        <x:f>COUNTIF('Asset Scope'!$N$5:$N$39,"&gt;0")&amp;" / "&amp;COUNTA('Asset Scope'!$A$5:$A$39)</x:f>
        <x:v>35 / 35</x:v>
      </x:c>
      <x:c r="K5" s="175"/>
    </x:row>
    <x:row r="6" ht="34" customHeight="1">
      <x:c r="A6" s="176"/>
      <x:c r="B6" s="177"/>
      <x:c r="D6" s="176"/>
      <x:c r="E6" s="177"/>
      <x:c r="G6" s="176"/>
      <x:c r="H6" s="177"/>
      <x:c r="J6" s="176"/>
      <x:c r="K6" s="177"/>
    </x:row>
    <x:row r="9">
      <x:c r="A9" s="112" t="str">
        <x:v>Risk Rating</x:v>
      </x:c>
      <x:c r="B9" s="113" t="str">
        <x:v>Inherent Count</x:v>
      </x:c>
      <x:c r="C9" s="114" t="str">
        <x:v>Residual Count</x:v>
      </x:c>
      <x:c r="E9" s="61" t="str">
        <x:v>MANAGEMENT INTERPRETATION</x:v>
      </x:c>
      <x:c r="F9" s="62"/>
      <x:c r="G9" s="62"/>
      <x:c r="H9" s="62"/>
      <x:c r="I9" s="62"/>
      <x:c r="J9" s="62"/>
      <x:c r="K9" s="62"/>
      <x:c r="L9" s="62"/>
      <x:c r="M9" s="62"/>
      <x:c r="N9" s="63"/>
    </x:row>
    <x:row r="10">
      <x:c r="A10" s="71" t="str">
        <x:v>Low</x:v>
      </x:c>
      <x:c r="B10" s="71" t="n">
        <x:f>COUNTIF('Risk Register'!$O$10:$O$29,A10)</x:f>
        <x:v>0</x:v>
      </x:c>
      <x:c r="C10" s="71" t="n">
        <x:f>COUNTIF('Risk Register'!$S$10:$S$29,A10)</x:f>
        <x:v>0</x:v>
      </x:c>
      <x:c r="E10" s="196" t="str">
        <x:v>The assessment identifies no Critical residual risks after current controls, but 16 High residual risks remain above NovaForge's stated appetite. The strongest recurring exposures involve identity compromise, cloud and product security, OT access and segmentation, backup assurance, and detection coverage. Treatment plans should be tracked through NF-GRC-006 and escalated when dates or evidence are missed.</x:v>
      </x:c>
      <x:c r="F10" s="197"/>
      <x:c r="G10" s="197"/>
      <x:c r="H10" s="197"/>
      <x:c r="I10" s="197"/>
      <x:c r="J10" s="197"/>
      <x:c r="K10" s="197"/>
      <x:c r="L10" s="197"/>
      <x:c r="M10" s="197"/>
      <x:c r="N10" s="198"/>
    </x:row>
    <x:row r="11">
      <x:c r="A11" s="72" t="str">
        <x:v>Moderate</x:v>
      </x:c>
      <x:c r="B11" s="72" t="n">
        <x:f>COUNTIF('Risk Register'!$O$10:$O$29,A11)</x:f>
        <x:v>0</x:v>
      </x:c>
      <x:c r="C11" s="72" t="n">
        <x:f>COUNTIF('Risk Register'!$S$10:$S$29,A11)</x:f>
        <x:v>4</x:v>
      </x:c>
      <x:c r="E11" s="199"/>
      <x:c r="F11" s="200"/>
      <x:c r="G11" s="200"/>
      <x:c r="H11" s="200"/>
      <x:c r="I11" s="200"/>
      <x:c r="J11" s="200"/>
      <x:c r="K11" s="200"/>
      <x:c r="L11" s="200"/>
      <x:c r="M11" s="200"/>
      <x:c r="N11" s="201"/>
    </x:row>
    <x:row r="12">
      <x:c r="A12" s="72" t="str">
        <x:v>High</x:v>
      </x:c>
      <x:c r="B12" s="72" t="n">
        <x:f>COUNTIF('Risk Register'!$O$10:$O$29,A12)</x:f>
        <x:v>8</x:v>
      </x:c>
      <x:c r="C12" s="72" t="n">
        <x:f>COUNTIF('Risk Register'!$S$10:$S$29,A12)</x:f>
        <x:v>16</x:v>
      </x:c>
      <x:c r="E12" s="199"/>
      <x:c r="F12" s="200"/>
      <x:c r="G12" s="200"/>
      <x:c r="H12" s="200"/>
      <x:c r="I12" s="200"/>
      <x:c r="J12" s="200"/>
      <x:c r="K12" s="200"/>
      <x:c r="L12" s="200"/>
      <x:c r="M12" s="200"/>
      <x:c r="N12" s="201"/>
    </x:row>
    <x:row r="13">
      <x:c r="A13" s="73" t="str">
        <x:v>Critical</x:v>
      </x:c>
      <x:c r="B13" s="73" t="n">
        <x:f>COUNTIF('Risk Register'!$O$10:$O$29,A13)</x:f>
        <x:v>12</x:v>
      </x:c>
      <x:c r="C13" s="73" t="n">
        <x:f>COUNTIF('Risk Register'!$S$10:$S$29,A13)</x:f>
        <x:v>0</x:v>
      </x:c>
      <x:c r="E13" s="202"/>
      <x:c r="F13" s="203"/>
      <x:c r="G13" s="203"/>
      <x:c r="H13" s="203"/>
      <x:c r="I13" s="203"/>
      <x:c r="J13" s="203"/>
      <x:c r="K13" s="203"/>
      <x:c r="L13" s="203"/>
      <x:c r="M13" s="203"/>
      <x:c r="N13" s="204"/>
    </x:row>
    <x:row r="15">
      <x:c r="E15" s="93" t="str">
        <x:v>PHASE 1 PRIORITIES</x:v>
      </x:c>
      <x:c r="F15" s="94"/>
      <x:c r="G15" s="94"/>
      <x:c r="H15" s="94"/>
      <x:c r="I15" s="94"/>
      <x:c r="J15" s="94"/>
      <x:c r="K15" s="94"/>
      <x:c r="L15" s="94"/>
      <x:c r="M15" s="94"/>
      <x:c r="N15" s="95"/>
    </x:row>
    <x:row r="16">
      <x:c r="A16" s="84" t="str">
        <x:v>Risk Domain</x:v>
      </x:c>
      <x:c r="B16" s="86" t="str">
        <x:v>Residual Risk Count</x:v>
      </x:c>
      <x:c r="E16" s="223" t="str">
        <x:v>1. Strengthen privileged identity and phishing-resistant MFA.
2. Validate OT segmentation, monitored remote access, and safety-focused response.
3. Establish cloud configuration guardrails and tested cross-region recovery.
4. Secure source, build, firmware-signing, and release pipelines.
5. Close backup and log-coverage gaps with repeatable evidence.
Next artifact: NF-GRC-006 — Risk Treatment Plan &amp; Risk Register Tracking.</x:v>
      </x:c>
      <x:c r="F16" s="224"/>
      <x:c r="G16" s="224"/>
      <x:c r="H16" s="224"/>
      <x:c r="I16" s="224"/>
      <x:c r="J16" s="224"/>
      <x:c r="K16" s="224"/>
      <x:c r="L16" s="224"/>
      <x:c r="M16" s="224"/>
      <x:c r="N16" s="225"/>
    </x:row>
    <x:row r="17">
      <x:c r="A17" s="71" t="str">
        <x:v>Identity &amp; Access</x:v>
      </x:c>
      <x:c r="B17" s="71" t="n">
        <x:f>COUNTIF('Risk Register'!$B$10:$B$29,A17)</x:f>
        <x:v>1</x:v>
      </x:c>
      <x:c r="E17" s="226"/>
      <x:c r="F17" s="227"/>
      <x:c r="G17" s="227"/>
      <x:c r="H17" s="227"/>
      <x:c r="I17" s="227"/>
      <x:c r="J17" s="227"/>
      <x:c r="K17" s="227"/>
      <x:c r="L17" s="227"/>
      <x:c r="M17" s="227"/>
      <x:c r="N17" s="228"/>
    </x:row>
    <x:row r="18">
      <x:c r="A18" s="72" t="str">
        <x:v>Cloud &amp; Application Security</x:v>
      </x:c>
      <x:c r="B18" s="72" t="n">
        <x:f>COUNTIF('Risk Register'!$B$10:$B$29,A18)</x:f>
        <x:v>4</x:v>
      </x:c>
      <x:c r="E18" s="226"/>
      <x:c r="F18" s="227"/>
      <x:c r="G18" s="227"/>
      <x:c r="H18" s="227"/>
      <x:c r="I18" s="227"/>
      <x:c r="J18" s="227"/>
      <x:c r="K18" s="227"/>
      <x:c r="L18" s="227"/>
      <x:c r="M18" s="227"/>
      <x:c r="N18" s="228"/>
    </x:row>
    <x:row r="19">
      <x:c r="A19" s="72" t="str">
        <x:v>Endpoint &amp; Infrastructure</x:v>
      </x:c>
      <x:c r="B19" s="72" t="n">
        <x:f>COUNTIF('Risk Register'!$B$10:$B$29,A19)</x:f>
        <x:v>3</x:v>
      </x:c>
      <x:c r="E19" s="226"/>
      <x:c r="F19" s="227"/>
      <x:c r="G19" s="227"/>
      <x:c r="H19" s="227"/>
      <x:c r="I19" s="227"/>
      <x:c r="J19" s="227"/>
      <x:c r="K19" s="227"/>
      <x:c r="L19" s="227"/>
      <x:c r="M19" s="227"/>
      <x:c r="N19" s="228"/>
    </x:row>
    <x:row r="20">
      <x:c r="A20" s="72" t="str">
        <x:v>Software &amp; Product Security</x:v>
      </x:c>
      <x:c r="B20" s="72" t="n">
        <x:f>COUNTIF('Risk Register'!$B$10:$B$29,A20)</x:f>
        <x:v>2</x:v>
      </x:c>
      <x:c r="E20" s="226"/>
      <x:c r="F20" s="227"/>
      <x:c r="G20" s="227"/>
      <x:c r="H20" s="227"/>
      <x:c r="I20" s="227"/>
      <x:c r="J20" s="227"/>
      <x:c r="K20" s="227"/>
      <x:c r="L20" s="227"/>
      <x:c r="M20" s="227"/>
      <x:c r="N20" s="228"/>
    </x:row>
    <x:row r="21">
      <x:c r="A21" s="72" t="str">
        <x:v>Operational Technology</x:v>
      </x:c>
      <x:c r="B21" s="72" t="n">
        <x:f>COUNTIF('Risk Register'!$B$10:$B$29,A21)</x:f>
        <x:v>3</x:v>
      </x:c>
      <x:c r="E21" s="226"/>
      <x:c r="F21" s="227"/>
      <x:c r="G21" s="227"/>
      <x:c r="H21" s="227"/>
      <x:c r="I21" s="227"/>
      <x:c r="J21" s="227"/>
      <x:c r="K21" s="227"/>
      <x:c r="L21" s="227"/>
      <x:c r="M21" s="227"/>
      <x:c r="N21" s="228"/>
    </x:row>
    <x:row r="22">
      <x:c r="A22" s="72" t="str">
        <x:v>Data Protection &amp; Privacy</x:v>
      </x:c>
      <x:c r="B22" s="72" t="n">
        <x:f>COUNTIF('Risk Register'!$B$10:$B$29,A22)</x:f>
        <x:v>3</x:v>
      </x:c>
      <x:c r="E22" s="229"/>
      <x:c r="F22" s="230"/>
      <x:c r="G22" s="230"/>
      <x:c r="H22" s="230"/>
      <x:c r="I22" s="230"/>
      <x:c r="J22" s="230"/>
      <x:c r="K22" s="230"/>
      <x:c r="L22" s="230"/>
      <x:c r="M22" s="230"/>
      <x:c r="N22" s="231"/>
    </x:row>
    <x:row r="23">
      <x:c r="A23" s="72" t="str">
        <x:v>Third-Party Risk</x:v>
      </x:c>
      <x:c r="B23" s="72" t="n">
        <x:f>COUNTIF('Risk Register'!$B$10:$B$29,A23)</x:f>
        <x:v>1</x:v>
      </x:c>
    </x:row>
    <x:row r="24">
      <x:c r="A24" s="72" t="str">
        <x:v>Security Operations</x:v>
      </x:c>
      <x:c r="B24" s="72" t="n">
        <x:f>COUNTIF('Risk Register'!$B$10:$B$29,A24)</x:f>
        <x:v>1</x:v>
      </x:c>
    </x:row>
    <x:row r="25">
      <x:c r="A25" s="73" t="str">
        <x:v>Business Resilience &amp; Fraud</x:v>
      </x:c>
      <x:c r="B25" s="73" t="n">
        <x:f>COUNTIF('Risk Register'!$B$10:$B$29,A25)</x:f>
        <x:v>2</x:v>
      </x:c>
    </x:row>
  </x:sheetData>
  <x:mergeCells>
    <x:mergeCell ref="A4:B4"/>
    <x:mergeCell ref="D4:E4"/>
    <x:mergeCell ref="G4:H4"/>
    <x:mergeCell ref="J4:K4"/>
    <x:mergeCell ref="A5:B6"/>
    <x:mergeCell ref="D5:E6"/>
    <x:mergeCell ref="G5:H6"/>
    <x:mergeCell ref="J5:K6"/>
    <x:mergeCell ref="E9:N9"/>
    <x:mergeCell ref="E10:N13"/>
    <x:mergeCell ref="E15:N15"/>
    <x:mergeCell ref="E16:N22"/>
  </x:mergeCells>
  <x:pageMargins left="0.7" right="0.7" top="0.75" bottom="0.75" header="0.3" footer="0.3"/>
  <x:drawing xmlns:r="http://schemas.openxmlformats.org/officeDocument/2006/relationships" r:id="R19acc346dd0b436d"/>
  <x:legacyDrawing xmlns:r="http://schemas.openxmlformats.org/officeDocument/2006/relationships" r:id="R6eed63189e804224"/>
</x:worksheet>
</file>

<file path=xl/worksheets/sheet3.xml><?xml version="1.0" encoding="utf-8"?>
<x:worksheet xmlns:x="http://schemas.openxmlformats.org/spreadsheetml/2006/main">
  <x:sheetViews>
    <x:sheetView showGridLines="0" workbookViewId="0"/>
  </x:sheetViews>
  <x:sheetFormatPr defaultRowHeight="15"/>
  <x:cols>
    <x:col min="1" max="1" width="25" hidden="0" customWidth="1"/>
    <x:col min="2" max="2" width="13" hidden="0" customWidth="1"/>
    <x:col min="3" max="3" width="13" hidden="0" customWidth="1"/>
    <x:col min="4" max="4" width="13" hidden="0" customWidth="1"/>
    <x:col min="5" max="5" width="13" hidden="0" customWidth="1"/>
    <x:col min="6" max="6" width="13" hidden="0" customWidth="1"/>
    <x:col min="8" max="8" width="20" hidden="0" customWidth="1"/>
    <x:col min="9" max="9" width="14" hidden="0" customWidth="1"/>
    <x:col min="10" max="10" width="14" hidden="0" customWidth="1"/>
  </x:cols>
  <x:sheetData>
    <x:row r="1">
      <x:c r="A1" s="3" t="str">
        <x:v>NF-GRC-005 — Residual Risk Heat Map</x:v>
      </x:c>
      <x:c r="B1" s="1"/>
      <x:c r="C1" s="1"/>
      <x:c r="D1" s="1"/>
      <x:c r="E1" s="1"/>
      <x:c r="F1" s="1"/>
      <x:c r="G1" s="1"/>
      <x:c r="H1" s="1"/>
      <x:c r="I1" s="1"/>
      <x:c r="J1" s="1"/>
    </x:row>
    <x:row r="2">
      <x:c r="A2" s="6" t="str">
        <x:v>Counts update automatically from residual likelihood and impact ratings in the Risk Register</x:v>
      </x:c>
      <x:c r="B2" s="4"/>
      <x:c r="C2" s="4"/>
      <x:c r="D2" s="4"/>
      <x:c r="E2" s="4"/>
      <x:c r="F2" s="4"/>
      <x:c r="G2" s="4"/>
      <x:c r="H2" s="4"/>
      <x:c r="I2" s="4"/>
      <x:c r="J2" s="4"/>
    </x:row>
    <x:row r="4" ht="42" customHeight="1">
      <x:c r="A4" s="61" t="str">
        <x:v>Impact ↓ / Likelihood →</x:v>
      </x:c>
      <x:c r="B4" s="62" t="n">
        <x:v>1</x:v>
      </x:c>
      <x:c r="C4" s="62" t="n">
        <x:v>2</x:v>
      </x:c>
      <x:c r="D4" s="62" t="n">
        <x:v>3</x:v>
      </x:c>
      <x:c r="E4" s="62" t="n">
        <x:v>4</x:v>
      </x:c>
      <x:c r="F4" s="63" t="n">
        <x:v>5</x:v>
      </x:c>
      <x:c r="H4" s="84" t="str">
        <x:v>Residual Rating</x:v>
      </x:c>
      <x:c r="I4" s="85" t="str">
        <x:v>Risk Count</x:v>
      </x:c>
      <x:c r="J4" s="86" t="str">
        <x:v>Share</x:v>
      </x:c>
    </x:row>
    <x:row r="5" ht="42" customHeight="1">
      <x:c r="A5" s="129" t="n">
        <x:v>5</x:v>
      </x:c>
      <x:c r="B5" s="135" t="n">
        <x:f>COUNTIFS('Risk Register'!$P$10:$P$29,1,'Risk Register'!$Q$10:$Q$29,5)</x:f>
        <x:v>0</x:v>
      </x:c>
      <x:c r="C5" s="139" t="n">
        <x:f>COUNTIFS('Risk Register'!$P$10:$P$29,2,'Risk Register'!$Q$10:$Q$29,5)</x:f>
        <x:v>3</x:v>
      </x:c>
      <x:c r="D5" s="139" t="n">
        <x:f>COUNTIFS('Risk Register'!$P$10:$P$29,3,'Risk Register'!$Q$10:$Q$29,5)</x:f>
        <x:v>6</x:v>
      </x:c>
      <x:c r="E5" s="143" t="n">
        <x:f>COUNTIFS('Risk Register'!$P$10:$P$29,4,'Risk Register'!$Q$10:$Q$29,5)</x:f>
        <x:v>0</x:v>
      </x:c>
      <x:c r="F5" s="143" t="n">
        <x:f>COUNTIFS('Risk Register'!$P$10:$P$29,5,'Risk Register'!$Q$10:$Q$29,5)</x:f>
        <x:v>0</x:v>
      </x:c>
      <x:c r="H5" s="71" t="str">
        <x:v>Low</x:v>
      </x:c>
      <x:c r="I5" s="71" t="n">
        <x:f>COUNTIF('Risk Register'!$S$10:$S$29,H5)</x:f>
        <x:v>0</x:v>
      </x:c>
      <x:c r="J5" s="154" t="n">
        <x:f>I5/COUNTA('Risk Register'!$A$10:$A$29)</x:f>
        <x:v>0</x:v>
      </x:c>
    </x:row>
    <x:row r="6" ht="42" customHeight="1">
      <x:c r="A6" s="130" t="n">
        <x:v>4</x:v>
      </x:c>
      <x:c r="B6" s="147" t="n">
        <x:f>COUNTIFS('Risk Register'!$P$10:$P$29,1,'Risk Register'!$Q$10:$Q$29,4)</x:f>
        <x:v>0</x:v>
      </x:c>
      <x:c r="C6" s="135" t="n">
        <x:f>COUNTIFS('Risk Register'!$P$10:$P$29,2,'Risk Register'!$Q$10:$Q$29,4)</x:f>
        <x:v>2</x:v>
      </x:c>
      <x:c r="D6" s="139" t="n">
        <x:f>COUNTIFS('Risk Register'!$P$10:$P$29,3,'Risk Register'!$Q$10:$Q$29,4)</x:f>
        <x:v>7</x:v>
      </x:c>
      <x:c r="E6" s="139" t="n">
        <x:f>COUNTIFS('Risk Register'!$P$10:$P$29,4,'Risk Register'!$Q$10:$Q$29,4)</x:f>
        <x:v>0</x:v>
      </x:c>
      <x:c r="F6" s="143" t="n">
        <x:f>COUNTIFS('Risk Register'!$P$10:$P$29,5,'Risk Register'!$Q$10:$Q$29,4)</x:f>
        <x:v>0</x:v>
      </x:c>
      <x:c r="H6" s="72" t="str">
        <x:v>Moderate</x:v>
      </x:c>
      <x:c r="I6" s="72" t="n">
        <x:f>COUNTIF('Risk Register'!$S$10:$S$29,H6)</x:f>
        <x:v>4</x:v>
      </x:c>
      <x:c r="J6" s="155" t="n">
        <x:f>I6/COUNTA('Risk Register'!$A$10:$A$29)</x:f>
        <x:v>0.2</x:v>
      </x:c>
    </x:row>
    <x:row r="7" ht="42" customHeight="1">
      <x:c r="A7" s="130" t="n">
        <x:v>3</x:v>
      </x:c>
      <x:c r="B7" s="147" t="n">
        <x:f>COUNTIFS('Risk Register'!$P$10:$P$29,1,'Risk Register'!$Q$10:$Q$29,3)</x:f>
        <x:v>0</x:v>
      </x:c>
      <x:c r="C7" s="135" t="n">
        <x:f>COUNTIFS('Risk Register'!$P$10:$P$29,2,'Risk Register'!$Q$10:$Q$29,3)</x:f>
        <x:v>2</x:v>
      </x:c>
      <x:c r="D7" s="135" t="n">
        <x:f>COUNTIFS('Risk Register'!$P$10:$P$29,3,'Risk Register'!$Q$10:$Q$29,3)</x:f>
        <x:v>0</x:v>
      </x:c>
      <x:c r="E7" s="139" t="n">
        <x:f>COUNTIFS('Risk Register'!$P$10:$P$29,4,'Risk Register'!$Q$10:$Q$29,3)</x:f>
        <x:v>0</x:v>
      </x:c>
      <x:c r="F7" s="139" t="n">
        <x:f>COUNTIFS('Risk Register'!$P$10:$P$29,5,'Risk Register'!$Q$10:$Q$29,3)</x:f>
        <x:v>0</x:v>
      </x:c>
      <x:c r="H7" s="72" t="str">
        <x:v>High</x:v>
      </x:c>
      <x:c r="I7" s="72" t="n">
        <x:f>COUNTIF('Risk Register'!$S$10:$S$29,H7)</x:f>
        <x:v>16</x:v>
      </x:c>
      <x:c r="J7" s="155" t="n">
        <x:f>I7/COUNTA('Risk Register'!$A$10:$A$29)</x:f>
        <x:v>0.8</x:v>
      </x:c>
    </x:row>
    <x:row r="8" ht="42" customHeight="1">
      <x:c r="A8" s="130" t="n">
        <x:v>2</x:v>
      </x:c>
      <x:c r="B8" s="147" t="n">
        <x:f>COUNTIFS('Risk Register'!$P$10:$P$29,1,'Risk Register'!$Q$10:$Q$29,2)</x:f>
        <x:v>0</x:v>
      </x:c>
      <x:c r="C8" s="147" t="n">
        <x:f>COUNTIFS('Risk Register'!$P$10:$P$29,2,'Risk Register'!$Q$10:$Q$29,2)</x:f>
        <x:v>0</x:v>
      </x:c>
      <x:c r="D8" s="135" t="n">
        <x:f>COUNTIFS('Risk Register'!$P$10:$P$29,3,'Risk Register'!$Q$10:$Q$29,2)</x:f>
        <x:v>0</x:v>
      </x:c>
      <x:c r="E8" s="135" t="n">
        <x:f>COUNTIFS('Risk Register'!$P$10:$P$29,4,'Risk Register'!$Q$10:$Q$29,2)</x:f>
        <x:v>0</x:v>
      </x:c>
      <x:c r="F8" s="139" t="n">
        <x:f>COUNTIFS('Risk Register'!$P$10:$P$29,5,'Risk Register'!$Q$10:$Q$29,2)</x:f>
        <x:v>0</x:v>
      </x:c>
      <x:c r="H8" s="73" t="str">
        <x:v>Critical</x:v>
      </x:c>
      <x:c r="I8" s="73" t="n">
        <x:f>COUNTIF('Risk Register'!$S$10:$S$29,H8)</x:f>
        <x:v>0</x:v>
      </x:c>
      <x:c r="J8" s="156" t="n">
        <x:f>I8/COUNTA('Risk Register'!$A$10:$A$29)</x:f>
        <x:v>0</x:v>
      </x:c>
    </x:row>
    <x:row r="9" ht="42" customHeight="1">
      <x:c r="A9" s="131" t="n">
        <x:v>1</x:v>
      </x:c>
      <x:c r="B9" s="147" t="n">
        <x:f>COUNTIFS('Risk Register'!$P$10:$P$29,1,'Risk Register'!$Q$10:$Q$29,1)</x:f>
        <x:v>0</x:v>
      </x:c>
      <x:c r="C9" s="147" t="n">
        <x:f>COUNTIFS('Risk Register'!$P$10:$P$29,2,'Risk Register'!$Q$10:$Q$29,1)</x:f>
        <x:v>0</x:v>
      </x:c>
      <x:c r="D9" s="147" t="n">
        <x:f>COUNTIFS('Risk Register'!$P$10:$P$29,3,'Risk Register'!$Q$10:$Q$29,1)</x:f>
        <x:v>0</x:v>
      </x:c>
      <x:c r="E9" s="147" t="n">
        <x:f>COUNTIFS('Risk Register'!$P$10:$P$29,4,'Risk Register'!$Q$10:$Q$29,1)</x:f>
        <x:v>0</x:v>
      </x:c>
      <x:c r="F9" s="135" t="n">
        <x:f>COUNTIFS('Risk Register'!$P$10:$P$29,5,'Risk Register'!$Q$10:$Q$29,1)</x:f>
        <x:v>0</x:v>
      </x:c>
    </x:row>
    <x:row r="12">
      <x:c r="A12" s="112" t="str">
        <x:v>Rating</x:v>
      </x:c>
      <x:c r="B12" s="113" t="str">
        <x:v>Score Range</x:v>
      </x:c>
      <x:c r="C12" s="114" t="str">
        <x:v>NovaForge Response</x:v>
      </x:c>
    </x:row>
    <x:row r="13">
      <x:c r="A13" s="149" t="str">
        <x:v>Low</x:v>
      </x:c>
      <x:c r="B13" s="71" t="str">
        <x:v>1–4</x:v>
      </x:c>
      <x:c r="C13" s="71" t="str">
        <x:v>Monitor / accept</x:v>
      </x:c>
    </x:row>
    <x:row r="14">
      <x:c r="A14" s="151" t="str">
        <x:v>Moderate</x:v>
      </x:c>
      <x:c r="B14" s="72" t="str">
        <x:v>5–9</x:v>
      </x:c>
      <x:c r="C14" s="72" t="str">
        <x:v>Owner response ≤90 days</x:v>
      </x:c>
    </x:row>
    <x:row r="15">
      <x:c r="A15" s="102" t="str">
        <x:v>High</x:v>
      </x:c>
      <x:c r="B15" s="72" t="str">
        <x:v>10–16</x:v>
      </x:c>
      <x:c r="C15" s="72" t="str">
        <x:v>Above appetite; plan ≤30 days</x:v>
      </x:c>
    </x:row>
    <x:row r="16">
      <x:c r="A16" s="104" t="str">
        <x:v>Critical</x:v>
      </x:c>
      <x:c r="B16" s="73" t="str">
        <x:v>17–25</x:v>
      </x:c>
      <x:c r="C16" s="73" t="str">
        <x:v>Immediate escalation</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12" hidden="0" customWidth="1"/>
    <x:col min="3" max="3" width="44" hidden="0" customWidth="1"/>
    <x:col min="4" max="4" width="48" hidden="0" customWidth="1"/>
    <x:col min="5" max="5" width="34" hidden="0" customWidth="1"/>
    <x:col min="6" max="6" width="4" hidden="0" customWidth="1"/>
    <x:col min="7" max="7" width="4" hidden="0" customWidth="1"/>
    <x:col min="8" max="8" width="18" hidden="0" customWidth="1"/>
    <x:col min="9" max="9" width="18" hidden="0" customWidth="1"/>
    <x:col min="10" max="10" width="48" hidden="0" customWidth="1"/>
  </x:cols>
  <x:sheetData>
    <x:row r="1">
      <x:c r="A1" s="3" t="str">
        <x:v>NF-GRC-005 — Risk Assessment Methodology &amp; Scales</x:v>
      </x:c>
      <x:c r="B1" s="1"/>
      <x:c r="C1" s="1"/>
      <x:c r="D1" s="1"/>
      <x:c r="E1" s="1"/>
      <x:c r="F1" s="1"/>
      <x:c r="G1" s="1"/>
      <x:c r="H1" s="1"/>
      <x:c r="I1" s="1"/>
      <x:c r="J1" s="1"/>
      <x:c r="K1" s="1"/>
    </x:row>
    <x:row r="2">
      <x:c r="A2" s="6" t="str">
        <x:v>NIST-aligned qualitative assessment with a transparent NovaForge 5×5 scoring model</x:v>
      </x:c>
      <x:c r="B2" s="4"/>
      <x:c r="C2" s="4"/>
      <x:c r="D2" s="4"/>
      <x:c r="E2" s="4"/>
      <x:c r="F2" s="4"/>
      <x:c r="G2" s="4"/>
      <x:c r="H2" s="4"/>
      <x:c r="I2" s="4"/>
      <x:c r="J2" s="4"/>
      <x:c r="K2" s="4"/>
    </x:row>
    <x:row r="4">
      <x:c r="A4" s="93" t="str">
        <x:v>Likelihood</x:v>
      </x:c>
      <x:c r="B4" s="94" t="str">
        <x:v>Score</x:v>
      </x:c>
      <x:c r="C4" s="94" t="str">
        <x:v>NovaForge Definition</x:v>
      </x:c>
      <x:c r="D4" s="94" t="str">
        <x:v>Evidence Considerations</x:v>
      </x:c>
      <x:c r="E4" s="95" t="str">
        <x:v>Expected Frequency / Conditions</x:v>
      </x:c>
      <x:c r="H4" s="61" t="str">
        <x:v>Minimum Score</x:v>
      </x:c>
      <x:c r="I4" s="62" t="str">
        <x:v>Risk Rating</x:v>
      </x:c>
      <x:c r="J4" s="63" t="str">
        <x:v>Required Response</x:v>
      </x:c>
    </x:row>
    <x:row r="5">
      <x:c r="A5" s="71" t="str">
        <x:v>Rare</x:v>
      </x:c>
      <x:c r="B5" s="71" t="n">
        <x:v>1</x:v>
      </x:c>
      <x:c r="C5" s="71" t="str">
        <x:v>Highly unlikely under expected conditions.</x:v>
      </x:c>
      <x:c r="D5" s="71" t="str">
        <x:v>No known occurrence; strong preventive controls; narrow exposure.</x:v>
      </x:c>
      <x:c r="E5" s="71" t="str">
        <x:v>Exceptional circumstances only.</x:v>
      </x:c>
      <x:c r="H5" s="71" t="n">
        <x:v>1</x:v>
      </x:c>
      <x:c r="I5" s="99" t="str">
        <x:v>Low</x:v>
      </x:c>
      <x:c r="J5" s="71" t="str">
        <x:v>Monitor or document acceptance; review on the normal cycle.</x:v>
      </x:c>
    </x:row>
    <x:row r="6">
      <x:c r="A6" s="72" t="str">
        <x:v>Unlikely</x:v>
      </x:c>
      <x:c r="B6" s="72" t="n">
        <x:v>2</x:v>
      </x:c>
      <x:c r="C6" s="72" t="str">
        <x:v>Could occur, but credible conditions are limited.</x:v>
      </x:c>
      <x:c r="D6" s="72" t="str">
        <x:v>Few relevant threat events; effective controls; limited access path.</x:v>
      </x:c>
      <x:c r="E6" s="72" t="str">
        <x:v>Possible over multiple years.</x:v>
      </x:c>
      <x:c r="H6" s="72" t="n">
        <x:v>5</x:v>
      </x:c>
      <x:c r="I6" s="100" t="str">
        <x:v>Moderate</x:v>
      </x:c>
      <x:c r="J6" s="72" t="str">
        <x:v>Owner response and proportionate action within 90 days.</x:v>
      </x:c>
    </x:row>
    <x:row r="7">
      <x:c r="A7" s="72" t="str">
        <x:v>Possible</x:v>
      </x:c>
      <x:c r="B7" s="72" t="n">
        <x:v>3</x:v>
      </x:c>
      <x:c r="C7" s="72" t="str">
        <x:v>Plausible and may occur during the assessment period.</x:v>
      </x:c>
      <x:c r="D7" s="72" t="str">
        <x:v>Relevant threat activity exists; controls have gaps or are not fully tested.</x:v>
      </x:c>
      <x:c r="E7" s="72" t="str">
        <x:v>Could occur annually.</x:v>
      </x:c>
      <x:c r="H7" s="72" t="n">
        <x:v>10</x:v>
      </x:c>
      <x:c r="I7" s="102" t="str">
        <x:v>High</x:v>
      </x:c>
      <x:c r="J7" s="72" t="str">
        <x:v>Above appetite; documented treatment plan and senior oversight within 30 days.</x:v>
      </x:c>
    </x:row>
    <x:row r="8">
      <x:c r="A8" s="72" t="str">
        <x:v>Likely</x:v>
      </x:c>
      <x:c r="B8" s="72" t="n">
        <x:v>4</x:v>
      </x:c>
      <x:c r="C8" s="72" t="str">
        <x:v>Expected to occur or has occurred in comparable environments.</x:v>
      </x:c>
      <x:c r="D8" s="72" t="str">
        <x:v>Active threat path, meaningful exposure, or recurring control weakness.</x:v>
      </x:c>
      <x:c r="E8" s="72" t="str">
        <x:v>Could occur several times per year.</x:v>
      </x:c>
      <x:c r="H8" s="73" t="n">
        <x:v>17</x:v>
      </x:c>
      <x:c r="I8" s="104" t="str">
        <x:v>Critical</x:v>
      </x:c>
      <x:c r="J8" s="73" t="str">
        <x:v>Not accepted; immediate executive escalation and action.</x:v>
      </x:c>
    </x:row>
    <x:row r="9">
      <x:c r="A9" s="73" t="str">
        <x:v>Almost Certain</x:v>
      </x:c>
      <x:c r="B9" s="73" t="n">
        <x:v>5</x:v>
      </x:c>
      <x:c r="C9" s="73" t="str">
        <x:v>Expected frequently or control failure is imminent.</x:v>
      </x:c>
      <x:c r="D9" s="73" t="str">
        <x:v>Common attack path, confirmed weakness, repeated events, or minimal prevention.</x:v>
      </x:c>
      <x:c r="E9" s="73" t="str">
        <x:v>Likely within months.</x:v>
      </x:c>
    </x:row>
    <x:row r="11">
      <x:c r="H11" s="112" t="str">
        <x:v>Treatment</x:v>
      </x:c>
      <x:c r="I11" s="113" t="str">
        <x:v>Definition</x:v>
      </x:c>
      <x:c r="J11" s="114" t="str">
        <x:v>Use</x:v>
      </x:c>
    </x:row>
    <x:row r="12">
      <x:c r="A12" s="84" t="str">
        <x:v>Impact</x:v>
      </x:c>
      <x:c r="B12" s="85" t="str">
        <x:v>Score</x:v>
      </x:c>
      <x:c r="C12" s="85" t="str">
        <x:v>NovaForge Definition</x:v>
      </x:c>
      <x:c r="D12" s="85" t="str">
        <x:v>Operational / Safety / Data Considerations</x:v>
      </x:c>
      <x:c r="E12" s="86" t="str">
        <x:v>Decision Context</x:v>
      </x:c>
      <x:c r="H12" s="71" t="str">
        <x:v>Mitigate</x:v>
      </x:c>
      <x:c r="I12" s="71" t="str">
        <x:v>Reduce likelihood and/or impact through additional controls.</x:v>
      </x:c>
      <x:c r="J12" s="71" t="str">
        <x:v>Default when risk exceeds appetite and controls are feasible.</x:v>
      </x:c>
    </x:row>
    <x:row r="13">
      <x:c r="A13" s="71" t="str">
        <x:v>Negligible</x:v>
      </x:c>
      <x:c r="B13" s="71" t="n">
        <x:v>1</x:v>
      </x:c>
      <x:c r="C13" s="71" t="str">
        <x:v>Minimal disruption and no meaningful data, safety, legal, or customer harm.</x:v>
      </x:c>
      <x:c r="D13" s="71" t="str">
        <x:v>Routine recovery; no sensitive-data exposure.</x:v>
      </x:c>
      <x:c r="E13" s="71" t="str">
        <x:v>Handled within normal operations.</x:v>
      </x:c>
      <x:c r="H13" s="72" t="str">
        <x:v>Transfer</x:v>
      </x:c>
      <x:c r="I13" s="72" t="str">
        <x:v>Shift defined financial or operational consequences through contract or insurance.</x:v>
      </x:c>
      <x:c r="J13" s="72" t="str">
        <x:v>Does not eliminate NovaForge accountability.</x:v>
      </x:c>
    </x:row>
    <x:row r="14">
      <x:c r="A14" s="72" t="str">
        <x:v>Minor</x:v>
      </x:c>
      <x:c r="B14" s="72" t="n">
        <x:v>2</x:v>
      </x:c>
      <x:c r="C14" s="72" t="str">
        <x:v>Limited, localized disruption with low financial or reputational effect.</x:v>
      </x:c>
      <x:c r="D14" s="72" t="str">
        <x:v>Short outage; small internal-data effect; no safety impact.</x:v>
      </x:c>
      <x:c r="E14" s="72" t="str">
        <x:v>Team-level management.</x:v>
      </x:c>
      <x:c r="H14" s="72" t="str">
        <x:v>Avoid</x:v>
      </x:c>
      <x:c r="I14" s="72" t="str">
        <x:v>Stop the activity or remove the exposure.</x:v>
      </x:c>
      <x:c r="J14" s="72" t="str">
        <x:v>Use when risk cannot be reduced to an acceptable level.</x:v>
      </x:c>
    </x:row>
    <x:row r="15">
      <x:c r="A15" s="72" t="str">
        <x:v>Moderate</x:v>
      </x:c>
      <x:c r="B15" s="72" t="n">
        <x:v>3</x:v>
      </x:c>
      <x:c r="C15" s="72" t="str">
        <x:v>Noticeable business disruption requiring coordinated response.</x:v>
      </x:c>
      <x:c r="D15" s="72" t="str">
        <x:v>Material productivity loss, limited customer impact, or confidential-data event.</x:v>
      </x:c>
      <x:c r="E15" s="72" t="str">
        <x:v>Management notification required.</x:v>
      </x:c>
      <x:c r="H15" s="73" t="str">
        <x:v>Accept</x:v>
      </x:c>
      <x:c r="I15" s="73" t="str">
        <x:v>Formally retain residual risk within appetite.</x:v>
      </x:c>
      <x:c r="J15" s="73" t="str">
        <x:v>Requires documented rationale and appropriate authority.</x:v>
      </x:c>
    </x:row>
    <x:row r="16">
      <x:c r="A16" s="72" t="str">
        <x:v>Major</x:v>
      </x:c>
      <x:c r="B16" s="72" t="n">
        <x:v>4</x:v>
      </x:c>
      <x:c r="C16" s="72" t="str">
        <x:v>Serious operational, financial, privacy, customer, or compliance harm.</x:v>
      </x:c>
      <x:c r="D16" s="72" t="str">
        <x:v>Extended outage, significant restricted-data exposure, or major delivery impact.</x:v>
      </x:c>
      <x:c r="E16" s="72" t="str">
        <x:v>Executive oversight required.</x:v>
      </x:c>
    </x:row>
    <x:row r="17">
      <x:c r="A17" s="73" t="str">
        <x:v>Severe</x:v>
      </x:c>
      <x:c r="B17" s="73" t="n">
        <x:v>5</x:v>
      </x:c>
      <x:c r="C17" s="73" t="str">
        <x:v>Threatens safety, critical manufacturing, core products, or enterprise viability.</x:v>
      </x:c>
      <x:c r="D17" s="73" t="str">
        <x:v>Unsafe robotic condition, prolonged critical outage, major IP loss, or systemic breach.</x:v>
      </x:c>
      <x:c r="E17" s="73" t="str">
        <x:v>Immediate executive action.</x:v>
      </x:c>
    </x:row>
    <x:row r="20" ht="46" customHeight="1">
      <x:c r="A20" s="120" t="str">
        <x:v>Method note: NIST SP 800-30 Rev. 1 informs the use of threat, vulnerability, likelihood, impact, and risk factors. NIST CSF 2.0 provides the outcome taxonomy. The exact 5×5 score thresholds are a NovaForge portfolio methodology and are not prescribed by NIST.</x:v>
      </x:c>
      <x:c r="B20" s="121"/>
      <x:c r="C20" s="121"/>
      <x:c r="D20" s="121"/>
      <x:c r="E20" s="121"/>
      <x:c r="F20" s="121"/>
      <x:c r="G20" s="121"/>
      <x:c r="H20" s="121"/>
      <x:c r="I20" s="121"/>
      <x:c r="J20" s="122"/>
    </x:row>
    <x:row r="22">
      <x:c r="A22" s="61" t="str">
        <x:v>Source</x:v>
      </x:c>
      <x:c r="B22" s="62"/>
      <x:c r="C22" s="62" t="str">
        <x:v>URL</x:v>
      </x:c>
      <x:c r="D22" s="62"/>
      <x:c r="E22" s="63"/>
    </x:row>
    <x:row r="23" ht="30" customHeight="1">
      <x:c r="A23" s="71" t="str">
        <x:v>NIST SP 800-30 Rev. 1 — Guide for Conducting Risk Assessments</x:v>
      </x:c>
      <x:c r="B23" s="71"/>
      <x:c r="C23" s="71" t="str">
        <x:v>https://csrc.nist.gov/pubs/sp/800/30/r1/final</x:v>
      </x:c>
      <x:c r="D23" s="71"/>
      <x:c r="E23" s="71"/>
    </x:row>
    <x:row r="24" ht="30" customHeight="1">
      <x:c r="A24" s="73" t="str">
        <x:v>NIST Cybersecurity Framework 2.0</x:v>
      </x:c>
      <x:c r="B24" s="73"/>
      <x:c r="C24" s="73" t="str">
        <x:v>https://www.nist.gov/publications/nist-cybersecurity-framework-csf-20</x:v>
      </x:c>
      <x:c r="D24" s="73"/>
      <x:c r="E24" s="73"/>
    </x:row>
  </x:sheetData>
  <x:mergeCells>
    <x:mergeCell ref="A20:J20"/>
    <x:mergeCell ref="A22:B22"/>
    <x:mergeCell ref="C22:E22"/>
    <x:mergeCell ref="A23:B23"/>
    <x:mergeCell ref="C23:E23"/>
    <x:mergeCell ref="A24:B24"/>
    <x:mergeCell ref="C24:E24"/>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22" hidden="0" customWidth="1"/>
    <x:col min="4" max="4" width="27" hidden="0" customWidth="1"/>
    <x:col min="5" max="5" width="31" hidden="0" customWidth="1"/>
    <x:col min="6" max="6" width="29" hidden="0" customWidth="1"/>
    <x:col min="7" max="7" width="19" hidden="0" customWidth="1"/>
    <x:col min="8" max="8" width="15" hidden="0" customWidth="1"/>
    <x:col min="9" max="9" width="15" hidden="0" customWidth="1"/>
    <x:col min="10" max="10" width="15" hidden="0" customWidth="1"/>
    <x:col min="11" max="11" width="16" hidden="0" customWidth="1"/>
    <x:col min="12" max="12" width="14" hidden="0" customWidth="1"/>
    <x:col min="13" max="13" width="15" hidden="0" customWidth="1"/>
    <x:col min="14" max="14" width="17" hidden="0" customWidth="1"/>
  </x:cols>
  <x:sheetData>
    <x:row r="1">
      <x:c r="A1" s="3" t="str">
        <x:v>NF-GRC-005 — Asset Scope &amp; Coverage</x:v>
      </x:c>
      <x:c r="B1" s="1"/>
      <x:c r="C1" s="1"/>
      <x:c r="D1" s="1"/>
      <x:c r="E1" s="1"/>
      <x:c r="F1" s="1"/>
      <x:c r="G1" s="1"/>
      <x:c r="H1" s="1"/>
      <x:c r="I1" s="1"/>
      <x:c r="J1" s="1"/>
      <x:c r="K1" s="1"/>
      <x:c r="L1" s="1"/>
      <x:c r="M1" s="1"/>
      <x:c r="N1" s="1"/>
    </x:row>
    <x:row r="2">
      <x:c r="A2" s="6" t="str">
        <x:v>All 35 approved baseline assets are mapped to at least one prioritized risk scenario</x:v>
      </x:c>
      <x:c r="B2" s="4"/>
      <x:c r="C2" s="4"/>
      <x:c r="D2" s="4"/>
      <x:c r="E2" s="4"/>
      <x:c r="F2" s="4"/>
      <x:c r="G2" s="4"/>
      <x:c r="H2" s="4"/>
      <x:c r="I2" s="4"/>
      <x:c r="J2" s="4"/>
      <x:c r="K2" s="4"/>
      <x:c r="L2" s="4"/>
      <x:c r="M2" s="4"/>
      <x:c r="N2" s="4"/>
    </x:row>
    <x:row r="4" ht="40" customHeight="1">
      <x:c r="A4" s="84" t="str">
        <x:v>Asset ID</x:v>
      </x:c>
      <x:c r="B4" s="85" t="str">
        <x:v>Asset Name</x:v>
      </x:c>
      <x:c r="C4" s="85" t="str">
        <x:v>Category</x:v>
      </x:c>
      <x:c r="D4" s="85" t="str">
        <x:v>Department</x:v>
      </x:c>
      <x:c r="E4" s="85" t="str">
        <x:v>Business Owner</x:v>
      </x:c>
      <x:c r="F4" s="85" t="str">
        <x:v>Technical Custodian</x:v>
      </x:c>
      <x:c r="G4" s="85" t="str">
        <x:v>Data Classification</x:v>
      </x:c>
      <x:c r="H4" s="85" t="str">
        <x:v>Criticality</x:v>
      </x:c>
      <x:c r="I4" s="85" t="str">
        <x:v>Internet-Facing</x:v>
      </x:c>
      <x:c r="J4" s="85" t="str">
        <x:v>Sensitive Data</x:v>
      </x:c>
      <x:c r="K4" s="85" t="str">
        <x:v>Backup Status</x:v>
      </x:c>
      <x:c r="L4" s="85" t="str">
        <x:v>Lifecycle</x:v>
      </x:c>
      <x:c r="M4" s="85" t="str">
        <x:v>Last Review Date</x:v>
      </x:c>
      <x:c r="N4" s="86" t="str">
        <x:v>Risk Scenario Count</x:v>
      </x:c>
    </x:row>
    <x:row r="5">
      <x:c r="A5" s="71" t="str">
        <x:v>NF-AST-001</x:v>
      </x:c>
      <x:c r="B5" s="71" t="str">
        <x:v>Microsoft 365 Tenant</x:v>
      </x:c>
      <x:c r="C5" s="71" t="str">
        <x:v>SaaS</x:v>
      </x:c>
      <x:c r="D5" s="71" t="str">
        <x:v>Information Technology</x:v>
      </x:c>
      <x:c r="E5" s="71" t="str">
        <x:v>Chief Information Officer (CIO)</x:v>
      </x:c>
      <x:c r="F5" s="71" t="str">
        <x:v>Systems &amp; Cloud Administration</x:v>
      </x:c>
      <x:c r="G5" s="71" t="str">
        <x:v>Confidential</x:v>
      </x:c>
      <x:c r="H5" s="71" t="str">
        <x:v>Critical</x:v>
      </x:c>
      <x:c r="I5" s="71" t="str">
        <x:v>Yes</x:v>
      </x:c>
      <x:c r="J5" s="71" t="str">
        <x:v>Yes</x:v>
      </x:c>
      <x:c r="K5" s="71" t="str">
        <x:v>Partial</x:v>
      </x:c>
      <x:c r="L5" s="71" t="str">
        <x:v>Active</x:v>
      </x:c>
      <x:c r="M5" s="74" t="n">
        <x:v>46250</x:v>
      </x:c>
      <x:c r="N5" s="71" t="n">
        <x:f>COUNTIF('Risk-Asset Map'!$B$5:$B$99,A5)</x:f>
        <x:v>4</x:v>
      </x:c>
    </x:row>
    <x:row r="6">
      <x:c r="A6" s="72" t="str">
        <x:v>NF-AST-002</x:v>
      </x:c>
      <x:c r="B6" s="72" t="str">
        <x:v>Microsoft Entra ID</x:v>
      </x:c>
      <x:c r="C6" s="72" t="str">
        <x:v>Cloud Infrastructure</x:v>
      </x:c>
      <x:c r="D6" s="72" t="str">
        <x:v>Information Technology</x:v>
      </x:c>
      <x:c r="E6" s="72" t="str">
        <x:v>Chief Information Officer (CIO)</x:v>
      </x:c>
      <x:c r="F6" s="72" t="str">
        <x:v>Systems &amp; Cloud Administration</x:v>
      </x:c>
      <x:c r="G6" s="72" t="str">
        <x:v>Restricted</x:v>
      </x:c>
      <x:c r="H6" s="72" t="str">
        <x:v>Critical</x:v>
      </x:c>
      <x:c r="I6" s="72" t="str">
        <x:v>Yes</x:v>
      </x:c>
      <x:c r="J6" s="72" t="str">
        <x:v>Yes</x:v>
      </x:c>
      <x:c r="K6" s="72" t="str">
        <x:v>Partial</x:v>
      </x:c>
      <x:c r="L6" s="72" t="str">
        <x:v>Active</x:v>
      </x:c>
      <x:c r="M6" s="75" t="n">
        <x:v>46250</x:v>
      </x:c>
      <x:c r="N6" s="72" t="n">
        <x:f>COUNTIF('Risk-Asset Map'!$B$5:$B$99,A6)</x:f>
        <x:v>2</x:v>
      </x:c>
    </x:row>
    <x:row r="7">
      <x:c r="A7" s="72" t="str">
        <x:v>NF-AST-003</x:v>
      </x:c>
      <x:c r="B7" s="72" t="str">
        <x:v>AWS Production Environment</x:v>
      </x:c>
      <x:c r="C7" s="72" t="str">
        <x:v>Cloud Infrastructure</x:v>
      </x:c>
      <x:c r="D7" s="72" t="str">
        <x:v>Information Technology</x:v>
      </x:c>
      <x:c r="E7" s="72" t="str">
        <x:v>Chief Information Officer (CIO)</x:v>
      </x:c>
      <x:c r="F7" s="72" t="str">
        <x:v>Systems &amp; Cloud Administration</x:v>
      </x:c>
      <x:c r="G7" s="72" t="str">
        <x:v>Restricted</x:v>
      </x:c>
      <x:c r="H7" s="72" t="str">
        <x:v>Critical</x:v>
      </x:c>
      <x:c r="I7" s="72" t="str">
        <x:v>Yes</x:v>
      </x:c>
      <x:c r="J7" s="72" t="str">
        <x:v>Yes</x:v>
      </x:c>
      <x:c r="K7" s="72" t="str">
        <x:v>Protected</x:v>
      </x:c>
      <x:c r="L7" s="72" t="str">
        <x:v>Active</x:v>
      </x:c>
      <x:c r="M7" s="75" t="n">
        <x:v>46250</x:v>
      </x:c>
      <x:c r="N7" s="72" t="n">
        <x:f>COUNTIF('Risk-Asset Map'!$B$5:$B$99,A7)</x:f>
        <x:v>3</x:v>
      </x:c>
    </x:row>
    <x:row r="8">
      <x:c r="A8" s="72" t="str">
        <x:v>NF-AST-004</x:v>
      </x:c>
      <x:c r="B8" s="72" t="str">
        <x:v>AWS Development and Test Environment</x:v>
      </x:c>
      <x:c r="C8" s="72" t="str">
        <x:v>Cloud Infrastructure</x:v>
      </x:c>
      <x:c r="D8" s="72" t="str">
        <x:v>Engineering &amp; R&amp;D</x:v>
      </x:c>
      <x:c r="E8" s="72" t="str">
        <x:v>Director of Engineering &amp; R&amp;D</x:v>
      </x:c>
      <x:c r="F8" s="72" t="str">
        <x:v>Software Engineering</x:v>
      </x:c>
      <x:c r="G8" s="72" t="str">
        <x:v>Confidential</x:v>
      </x:c>
      <x:c r="H8" s="72" t="str">
        <x:v>Moderate</x:v>
      </x:c>
      <x:c r="I8" s="72" t="str">
        <x:v>No</x:v>
      </x:c>
      <x:c r="J8" s="72" t="str">
        <x:v>Yes</x:v>
      </x:c>
      <x:c r="K8" s="72" t="str">
        <x:v>Protected</x:v>
      </x:c>
      <x:c r="L8" s="72" t="str">
        <x:v>Active</x:v>
      </x:c>
      <x:c r="M8" s="75" t="n">
        <x:v>46250</x:v>
      </x:c>
      <x:c r="N8" s="72" t="n">
        <x:f>COUNTIF('Risk-Asset Map'!$B$5:$B$99,A8)</x:f>
        <x:v>1</x:v>
      </x:c>
    </x:row>
    <x:row r="9">
      <x:c r="A9" s="72" t="str">
        <x:v>NF-AST-005</x:v>
      </x:c>
      <x:c r="B9" s="72" t="str">
        <x:v>GitHub Enterprise Organization</x:v>
      </x:c>
      <x:c r="C9" s="72" t="str">
        <x:v>SaaS</x:v>
      </x:c>
      <x:c r="D9" s="72" t="str">
        <x:v>Engineering &amp; R&amp;D</x:v>
      </x:c>
      <x:c r="E9" s="72" t="str">
        <x:v>Director of Engineering &amp; R&amp;D</x:v>
      </x:c>
      <x:c r="F9" s="72" t="str">
        <x:v>Software Engineering</x:v>
      </x:c>
      <x:c r="G9" s="72" t="str">
        <x:v>Restricted</x:v>
      </x:c>
      <x:c r="H9" s="72" t="str">
        <x:v>High</x:v>
      </x:c>
      <x:c r="I9" s="72" t="str">
        <x:v>Yes</x:v>
      </x:c>
      <x:c r="J9" s="72" t="str">
        <x:v>Yes</x:v>
      </x:c>
      <x:c r="K9" s="72" t="str">
        <x:v>Protected</x:v>
      </x:c>
      <x:c r="L9" s="72" t="str">
        <x:v>Active</x:v>
      </x:c>
      <x:c r="M9" s="75" t="n">
        <x:v>46250</x:v>
      </x:c>
      <x:c r="N9" s="72" t="n">
        <x:f>COUNTIF('Risk-Asset Map'!$B$5:$B$99,A9)</x:f>
        <x:v>2</x:v>
      </x:c>
    </x:row>
    <x:row r="10">
      <x:c r="A10" s="72" t="str">
        <x:v>NF-AST-006</x:v>
      </x:c>
      <x:c r="B10" s="72" t="str">
        <x:v>Jira Project Management</x:v>
      </x:c>
      <x:c r="C10" s="72" t="str">
        <x:v>SaaS</x:v>
      </x:c>
      <x:c r="D10" s="72" t="str">
        <x:v>Engineering &amp; R&amp;D</x:v>
      </x:c>
      <x:c r="E10" s="72" t="str">
        <x:v>Director of Engineering &amp; R&amp;D</x:v>
      </x:c>
      <x:c r="F10" s="72" t="str">
        <x:v>Software Engineering</x:v>
      </x:c>
      <x:c r="G10" s="72" t="str">
        <x:v>Confidential</x:v>
      </x:c>
      <x:c r="H10" s="72" t="str">
        <x:v>High</x:v>
      </x:c>
      <x:c r="I10" s="72" t="str">
        <x:v>Yes</x:v>
      </x:c>
      <x:c r="J10" s="72" t="str">
        <x:v>Yes</x:v>
      </x:c>
      <x:c r="K10" s="72" t="str">
        <x:v>Partial</x:v>
      </x:c>
      <x:c r="L10" s="72" t="str">
        <x:v>Active</x:v>
      </x:c>
      <x:c r="M10" s="75" t="n">
        <x:v>46250</x:v>
      </x:c>
      <x:c r="N10" s="72" t="n">
        <x:f>COUNTIF('Risk-Asset Map'!$B$5:$B$99,A10)</x:f>
        <x:v>1</x:v>
      </x:c>
    </x:row>
    <x:row r="11">
      <x:c r="A11" s="72" t="str">
        <x:v>NF-AST-007</x:v>
      </x:c>
      <x:c r="B11" s="72" t="str">
        <x:v>Confluence Knowledge Base</x:v>
      </x:c>
      <x:c r="C11" s="72" t="str">
        <x:v>SaaS</x:v>
      </x:c>
      <x:c r="D11" s="72" t="str">
        <x:v>Engineering &amp; R&amp;D</x:v>
      </x:c>
      <x:c r="E11" s="72" t="str">
        <x:v>Director of Engineering &amp; R&amp;D</x:v>
      </x:c>
      <x:c r="F11" s="72" t="str">
        <x:v>Software Engineering</x:v>
      </x:c>
      <x:c r="G11" s="72" t="str">
        <x:v>Confidential</x:v>
      </x:c>
      <x:c r="H11" s="72" t="str">
        <x:v>High</x:v>
      </x:c>
      <x:c r="I11" s="72" t="str">
        <x:v>Yes</x:v>
      </x:c>
      <x:c r="J11" s="72" t="str">
        <x:v>Yes</x:v>
      </x:c>
      <x:c r="K11" s="72" t="str">
        <x:v>Partial</x:v>
      </x:c>
      <x:c r="L11" s="72" t="str">
        <x:v>Active</x:v>
      </x:c>
      <x:c r="M11" s="75" t="n">
        <x:v>46250</x:v>
      </x:c>
      <x:c r="N11" s="72" t="n">
        <x:f>COUNTIF('Risk-Asset Map'!$B$5:$B$99,A11)</x:f>
        <x:v>2</x:v>
      </x:c>
    </x:row>
    <x:row r="12">
      <x:c r="A12" s="72" t="str">
        <x:v>NF-AST-008</x:v>
      </x:c>
      <x:c r="B12" s="72" t="str">
        <x:v>Salesforce CRM</x:v>
      </x:c>
      <x:c r="C12" s="72" t="str">
        <x:v>Business Application</x:v>
      </x:c>
      <x:c r="D12" s="72" t="str">
        <x:v>Sales &amp; Customer Success</x:v>
      </x:c>
      <x:c r="E12" s="72" t="str">
        <x:v>VP of Sales &amp; Customer Success</x:v>
      </x:c>
      <x:c r="F12" s="72" t="str">
        <x:v>Sales</x:v>
      </x:c>
      <x:c r="G12" s="72" t="str">
        <x:v>Confidential</x:v>
      </x:c>
      <x:c r="H12" s="72" t="str">
        <x:v>High</x:v>
      </x:c>
      <x:c r="I12" s="72" t="str">
        <x:v>Yes</x:v>
      </x:c>
      <x:c r="J12" s="72" t="str">
        <x:v>Yes</x:v>
      </x:c>
      <x:c r="K12" s="72" t="str">
        <x:v>Protected</x:v>
      </x:c>
      <x:c r="L12" s="72" t="str">
        <x:v>Active</x:v>
      </x:c>
      <x:c r="M12" s="75" t="n">
        <x:v>46250</x:v>
      </x:c>
      <x:c r="N12" s="72" t="n">
        <x:f>COUNTIF('Risk-Asset Map'!$B$5:$B$99,A12)</x:f>
        <x:v>1</x:v>
      </x:c>
    </x:row>
    <x:row r="13">
      <x:c r="A13" s="72" t="str">
        <x:v>NF-AST-009</x:v>
      </x:c>
      <x:c r="B13" s="72" t="str">
        <x:v>NovaForge Corporate Website</x:v>
      </x:c>
      <x:c r="C13" s="72" t="str">
        <x:v>Business Application</x:v>
      </x:c>
      <x:c r="D13" s="72" t="str">
        <x:v>Sales &amp; Customer Success</x:v>
      </x:c>
      <x:c r="E13" s="72" t="str">
        <x:v>VP of Sales &amp; Customer Success</x:v>
      </x:c>
      <x:c r="F13" s="72" t="str">
        <x:v>Systems &amp; Cloud Administration</x:v>
      </x:c>
      <x:c r="G13" s="72" t="str">
        <x:v>Public</x:v>
      </x:c>
      <x:c r="H13" s="72" t="str">
        <x:v>Moderate</x:v>
      </x:c>
      <x:c r="I13" s="72" t="str">
        <x:v>Yes</x:v>
      </x:c>
      <x:c r="J13" s="72" t="str">
        <x:v>No</x:v>
      </x:c>
      <x:c r="K13" s="72" t="str">
        <x:v>Protected</x:v>
      </x:c>
      <x:c r="L13" s="72" t="str">
        <x:v>Active</x:v>
      </x:c>
      <x:c r="M13" s="75" t="n">
        <x:v>46250</x:v>
      </x:c>
      <x:c r="N13" s="72" t="n">
        <x:f>COUNTIF('Risk-Asset Map'!$B$5:$B$99,A13)</x:f>
        <x:v>1</x:v>
      </x:c>
    </x:row>
    <x:row r="14">
      <x:c r="A14" s="72" t="str">
        <x:v>NF-AST-010</x:v>
      </x:c>
      <x:c r="B14" s="72" t="str">
        <x:v>Windows Endpoint Fleet</x:v>
      </x:c>
      <x:c r="C14" s="72" t="str">
        <x:v>Endpoint</x:v>
      </x:c>
      <x:c r="D14" s="72" t="str">
        <x:v>Information Technology</x:v>
      </x:c>
      <x:c r="E14" s="72" t="str">
        <x:v>IT Manager</x:v>
      </x:c>
      <x:c r="F14" s="72" t="str">
        <x:v>IT Support</x:v>
      </x:c>
      <x:c r="G14" s="72" t="str">
        <x:v>Confidential</x:v>
      </x:c>
      <x:c r="H14" s="72" t="str">
        <x:v>High</x:v>
      </x:c>
      <x:c r="I14" s="72" t="str">
        <x:v>No</x:v>
      </x:c>
      <x:c r="J14" s="72" t="str">
        <x:v>Yes</x:v>
      </x:c>
      <x:c r="K14" s="72" t="str">
        <x:v>Partial</x:v>
      </x:c>
      <x:c r="L14" s="72" t="str">
        <x:v>Active</x:v>
      </x:c>
      <x:c r="M14" s="75" t="n">
        <x:v>46250</x:v>
      </x:c>
      <x:c r="N14" s="72" t="n">
        <x:f>COUNTIF('Risk-Asset Map'!$B$5:$B$99,A14)</x:f>
        <x:v>2</x:v>
      </x:c>
    </x:row>
    <x:row r="15">
      <x:c r="A15" s="72" t="str">
        <x:v>NF-AST-011</x:v>
      </x:c>
      <x:c r="B15" s="72" t="str">
        <x:v>Linux Server Cluster</x:v>
      </x:c>
      <x:c r="C15" s="72" t="str">
        <x:v>Server</x:v>
      </x:c>
      <x:c r="D15" s="72" t="str">
        <x:v>Information Technology</x:v>
      </x:c>
      <x:c r="E15" s="72" t="str">
        <x:v>IT Manager</x:v>
      </x:c>
      <x:c r="F15" s="72" t="str">
        <x:v>Systems &amp; Cloud Administration</x:v>
      </x:c>
      <x:c r="G15" s="72" t="str">
        <x:v>Confidential</x:v>
      </x:c>
      <x:c r="H15" s="72" t="str">
        <x:v>High</x:v>
      </x:c>
      <x:c r="I15" s="72" t="str">
        <x:v>No</x:v>
      </x:c>
      <x:c r="J15" s="72" t="str">
        <x:v>Yes</x:v>
      </x:c>
      <x:c r="K15" s="72" t="str">
        <x:v>Protected</x:v>
      </x:c>
      <x:c r="L15" s="72" t="str">
        <x:v>Maintenance</x:v>
      </x:c>
      <x:c r="M15" s="75" t="n">
        <x:v>46250</x:v>
      </x:c>
      <x:c r="N15" s="72" t="n">
        <x:f>COUNTIF('Risk-Asset Map'!$B$5:$B$99,A15)</x:f>
        <x:v>2</x:v>
      </x:c>
    </x:row>
    <x:row r="16">
      <x:c r="A16" s="72" t="str">
        <x:v>NF-AST-012</x:v>
      </x:c>
      <x:c r="B16" s="72" t="str">
        <x:v>Perimeter Firewall</x:v>
      </x:c>
      <x:c r="C16" s="72" t="str">
        <x:v>Network Device</x:v>
      </x:c>
      <x:c r="D16" s="72" t="str">
        <x:v>Information Technology</x:v>
      </x:c>
      <x:c r="E16" s="72" t="str">
        <x:v>Chief Information Officer (CIO)</x:v>
      </x:c>
      <x:c r="F16" s="72" t="str">
        <x:v>Network Administration</x:v>
      </x:c>
      <x:c r="G16" s="72" t="str">
        <x:v>Restricted</x:v>
      </x:c>
      <x:c r="H16" s="72" t="str">
        <x:v>Critical</x:v>
      </x:c>
      <x:c r="I16" s="72" t="str">
        <x:v>Yes</x:v>
      </x:c>
      <x:c r="J16" s="72" t="str">
        <x:v>Yes</x:v>
      </x:c>
      <x:c r="K16" s="72" t="str">
        <x:v>Protected</x:v>
      </x:c>
      <x:c r="L16" s="72" t="str">
        <x:v>Active</x:v>
      </x:c>
      <x:c r="M16" s="75" t="n">
        <x:v>46250</x:v>
      </x:c>
      <x:c r="N16" s="72" t="n">
        <x:f>COUNTIF('Risk-Asset Map'!$B$5:$B$99,A16)</x:f>
        <x:v>3</x:v>
      </x:c>
    </x:row>
    <x:row r="17">
      <x:c r="A17" s="72" t="str">
        <x:v>NF-AST-013</x:v>
      </x:c>
      <x:c r="B17" s="72" t="str">
        <x:v>Corporate VPN Service</x:v>
      </x:c>
      <x:c r="C17" s="72" t="str">
        <x:v>Network Device</x:v>
      </x:c>
      <x:c r="D17" s="72" t="str">
        <x:v>Information Technology</x:v>
      </x:c>
      <x:c r="E17" s="72" t="str">
        <x:v>IT Manager</x:v>
      </x:c>
      <x:c r="F17" s="72" t="str">
        <x:v>Network Administration</x:v>
      </x:c>
      <x:c r="G17" s="72" t="str">
        <x:v>Restricted</x:v>
      </x:c>
      <x:c r="H17" s="72" t="str">
        <x:v>High</x:v>
      </x:c>
      <x:c r="I17" s="72" t="str">
        <x:v>Yes</x:v>
      </x:c>
      <x:c r="J17" s="72" t="str">
        <x:v>Yes</x:v>
      </x:c>
      <x:c r="K17" s="72" t="str">
        <x:v>Protected</x:v>
      </x:c>
      <x:c r="L17" s="72" t="str">
        <x:v>Active</x:v>
      </x:c>
      <x:c r="M17" s="75" t="n">
        <x:v>46250</x:v>
      </x:c>
      <x:c r="N17" s="72" t="n">
        <x:f>COUNTIF('Risk-Asset Map'!$B$5:$B$99,A17)</x:f>
        <x:v>1</x:v>
      </x:c>
    </x:row>
    <x:row r="18">
      <x:c r="A18" s="72" t="str">
        <x:v>NF-AST-014</x:v>
      </x:c>
      <x:c r="B18" s="72" t="str">
        <x:v>Corporate Network Infrastructure</x:v>
      </x:c>
      <x:c r="C18" s="72" t="str">
        <x:v>Network Device</x:v>
      </x:c>
      <x:c r="D18" s="72" t="str">
        <x:v>Information Technology</x:v>
      </x:c>
      <x:c r="E18" s="72" t="str">
        <x:v>IT Manager</x:v>
      </x:c>
      <x:c r="F18" s="72" t="str">
        <x:v>Network Administration</x:v>
      </x:c>
      <x:c r="G18" s="72" t="str">
        <x:v>Internal</x:v>
      </x:c>
      <x:c r="H18" s="72" t="str">
        <x:v>High</x:v>
      </x:c>
      <x:c r="I18" s="72" t="str">
        <x:v>No</x:v>
      </x:c>
      <x:c r="J18" s="72" t="str">
        <x:v>Yes</x:v>
      </x:c>
      <x:c r="K18" s="72" t="str">
        <x:v>Protected</x:v>
      </x:c>
      <x:c r="L18" s="72" t="str">
        <x:v>Maintenance</x:v>
      </x:c>
      <x:c r="M18" s="75" t="n">
        <x:v>46250</x:v>
      </x:c>
      <x:c r="N18" s="72" t="n">
        <x:f>COUNTIF('Risk-Asset Map'!$B$5:$B$99,A18)</x:f>
        <x:v>2</x:v>
      </x:c>
    </x:row>
    <x:row r="19">
      <x:c r="A19" s="72" t="str">
        <x:v>NF-AST-015</x:v>
      </x:c>
      <x:c r="B19" s="72" t="str">
        <x:v>Microsoft Defender for Endpoint</x:v>
      </x:c>
      <x:c r="C19" s="72" t="str">
        <x:v>Security Tool</x:v>
      </x:c>
      <x:c r="D19" s="72" t="str">
        <x:v>Information Security</x:v>
      </x:c>
      <x:c r="E19" s="72" t="str">
        <x:v>Security Manager</x:v>
      </x:c>
      <x:c r="F19" s="72" t="str">
        <x:v>Security Analyst</x:v>
      </x:c>
      <x:c r="G19" s="72" t="str">
        <x:v>Restricted</x:v>
      </x:c>
      <x:c r="H19" s="72" t="str">
        <x:v>High</x:v>
      </x:c>
      <x:c r="I19" s="72" t="str">
        <x:v>Yes</x:v>
      </x:c>
      <x:c r="J19" s="72" t="str">
        <x:v>Yes</x:v>
      </x:c>
      <x:c r="K19" s="72" t="str">
        <x:v>Not Applicable</x:v>
      </x:c>
      <x:c r="L19" s="72" t="str">
        <x:v>Active</x:v>
      </x:c>
      <x:c r="M19" s="75" t="n">
        <x:v>46250</x:v>
      </x:c>
      <x:c r="N19" s="72" t="n">
        <x:f>COUNTIF('Risk-Asset Map'!$B$5:$B$99,A19)</x:f>
        <x:v>1</x:v>
      </x:c>
    </x:row>
    <x:row r="20">
      <x:c r="A20" s="72" t="str">
        <x:v>NF-AST-016</x:v>
      </x:c>
      <x:c r="B20" s="72" t="str">
        <x:v>Microsoft Sentinel SIEM</x:v>
      </x:c>
      <x:c r="C20" s="72" t="str">
        <x:v>Security Tool</x:v>
      </x:c>
      <x:c r="D20" s="72" t="str">
        <x:v>Information Security</x:v>
      </x:c>
      <x:c r="E20" s="72" t="str">
        <x:v>Security Manager</x:v>
      </x:c>
      <x:c r="F20" s="72" t="str">
        <x:v>Security Analyst</x:v>
      </x:c>
      <x:c r="G20" s="72" t="str">
        <x:v>Restricted</x:v>
      </x:c>
      <x:c r="H20" s="72" t="str">
        <x:v>High</x:v>
      </x:c>
      <x:c r="I20" s="72" t="str">
        <x:v>Yes</x:v>
      </x:c>
      <x:c r="J20" s="72" t="str">
        <x:v>Yes</x:v>
      </x:c>
      <x:c r="K20" s="72" t="str">
        <x:v>Protected</x:v>
      </x:c>
      <x:c r="L20" s="72" t="str">
        <x:v>Active</x:v>
      </x:c>
      <x:c r="M20" s="75" t="n">
        <x:v>46250</x:v>
      </x:c>
      <x:c r="N20" s="72" t="n">
        <x:f>COUNTIF('Risk-Asset Map'!$B$5:$B$99,A20)</x:f>
        <x:v>1</x:v>
      </x:c>
    </x:row>
    <x:row r="21">
      <x:c r="A21" s="72" t="str">
        <x:v>NF-AST-017</x:v>
      </x:c>
      <x:c r="B21" s="72" t="str">
        <x:v>CAD and PLM System</x:v>
      </x:c>
      <x:c r="C21" s="72" t="str">
        <x:v>Engineering System</x:v>
      </x:c>
      <x:c r="D21" s="72" t="str">
        <x:v>Engineering &amp; R&amp;D</x:v>
      </x:c>
      <x:c r="E21" s="72" t="str">
        <x:v>Director of Engineering &amp; R&amp;D</x:v>
      </x:c>
      <x:c r="F21" s="72" t="str">
        <x:v>Robotics Engineering</x:v>
      </x:c>
      <x:c r="G21" s="72" t="str">
        <x:v>Restricted</x:v>
      </x:c>
      <x:c r="H21" s="72" t="str">
        <x:v>High</x:v>
      </x:c>
      <x:c r="I21" s="72" t="str">
        <x:v>No</x:v>
      </x:c>
      <x:c r="J21" s="72" t="str">
        <x:v>Yes</x:v>
      </x:c>
      <x:c r="K21" s="72" t="str">
        <x:v>Protected</x:v>
      </x:c>
      <x:c r="L21" s="72" t="str">
        <x:v>Active</x:v>
      </x:c>
      <x:c r="M21" s="75" t="n">
        <x:v>46250</x:v>
      </x:c>
      <x:c r="N21" s="72" t="n">
        <x:f>COUNTIF('Risk-Asset Map'!$B$5:$B$99,A21)</x:f>
        <x:v>1</x:v>
      </x:c>
    </x:row>
    <x:row r="22">
      <x:c r="A22" s="72" t="str">
        <x:v>NF-AST-018</x:v>
      </x:c>
      <x:c r="B22" s="72" t="str">
        <x:v>Engineering Workstation Fleet</x:v>
      </x:c>
      <x:c r="C22" s="72" t="str">
        <x:v>Endpoint</x:v>
      </x:c>
      <x:c r="D22" s="72" t="str">
        <x:v>Engineering &amp; R&amp;D</x:v>
      </x:c>
      <x:c r="E22" s="72" t="str">
        <x:v>Director of Engineering &amp; R&amp;D</x:v>
      </x:c>
      <x:c r="F22" s="72" t="str">
        <x:v>Robotics Engineering</x:v>
      </x:c>
      <x:c r="G22" s="72" t="str">
        <x:v>Restricted</x:v>
      </x:c>
      <x:c r="H22" s="72" t="str">
        <x:v>High</x:v>
      </x:c>
      <x:c r="I22" s="72" t="str">
        <x:v>No</x:v>
      </x:c>
      <x:c r="J22" s="72" t="str">
        <x:v>Yes</x:v>
      </x:c>
      <x:c r="K22" s="72" t="str">
        <x:v>Partial</x:v>
      </x:c>
      <x:c r="L22" s="72" t="str">
        <x:v>Active</x:v>
      </x:c>
      <x:c r="M22" s="75" t="n">
        <x:v>46250</x:v>
      </x:c>
      <x:c r="N22" s="72" t="n">
        <x:f>COUNTIF('Risk-Asset Map'!$B$5:$B$99,A22)</x:f>
        <x:v>2</x:v>
      </x:c>
    </x:row>
    <x:row r="23">
      <x:c r="A23" s="72" t="str">
        <x:v>NF-AST-019</x:v>
      </x:c>
      <x:c r="B23" s="72" t="str">
        <x:v>Robotics Simulation Environment</x:v>
      </x:c>
      <x:c r="C23" s="72" t="str">
        <x:v>Engineering System</x:v>
      </x:c>
      <x:c r="D23" s="72" t="str">
        <x:v>Engineering &amp; R&amp;D</x:v>
      </x:c>
      <x:c r="E23" s="72" t="str">
        <x:v>Director of Engineering &amp; R&amp;D</x:v>
      </x:c>
      <x:c r="F23" s="72" t="str">
        <x:v>Robotics Engineering</x:v>
      </x:c>
      <x:c r="G23" s="72" t="str">
        <x:v>Confidential</x:v>
      </x:c>
      <x:c r="H23" s="72" t="str">
        <x:v>High</x:v>
      </x:c>
      <x:c r="I23" s="72" t="str">
        <x:v>No</x:v>
      </x:c>
      <x:c r="J23" s="72" t="str">
        <x:v>Yes</x:v>
      </x:c>
      <x:c r="K23" s="72" t="str">
        <x:v>Protected</x:v>
      </x:c>
      <x:c r="L23" s="72" t="str">
        <x:v>Active</x:v>
      </x:c>
      <x:c r="M23" s="75" t="n">
        <x:v>46250</x:v>
      </x:c>
      <x:c r="N23" s="72" t="n">
        <x:f>COUNTIF('Risk-Asset Map'!$B$5:$B$99,A23)</x:f>
        <x:v>2</x:v>
      </x:c>
    </x:row>
    <x:row r="24">
      <x:c r="A24" s="72" t="str">
        <x:v>NF-AST-020</x:v>
      </x:c>
      <x:c r="B24" s="72" t="str">
        <x:v>Firmware Build System</x:v>
      </x:c>
      <x:c r="C24" s="72" t="str">
        <x:v>Engineering System</x:v>
      </x:c>
      <x:c r="D24" s="72" t="str">
        <x:v>Engineering &amp; R&amp;D</x:v>
      </x:c>
      <x:c r="E24" s="72" t="str">
        <x:v>Director of Engineering &amp; R&amp;D</x:v>
      </x:c>
      <x:c r="F24" s="72" t="str">
        <x:v>Firmware / Embedded Systems</x:v>
      </x:c>
      <x:c r="G24" s="72" t="str">
        <x:v>Restricted</x:v>
      </x:c>
      <x:c r="H24" s="72" t="str">
        <x:v>High</x:v>
      </x:c>
      <x:c r="I24" s="72" t="str">
        <x:v>No</x:v>
      </x:c>
      <x:c r="J24" s="72" t="str">
        <x:v>Yes</x:v>
      </x:c>
      <x:c r="K24" s="72" t="str">
        <x:v>Protected</x:v>
      </x:c>
      <x:c r="L24" s="72" t="str">
        <x:v>Active</x:v>
      </x:c>
      <x:c r="M24" s="75" t="n">
        <x:v>46250</x:v>
      </x:c>
      <x:c r="N24" s="72" t="n">
        <x:f>COUNTIF('Risk-Asset Map'!$B$5:$B$99,A24)</x:f>
        <x:v>2</x:v>
      </x:c>
    </x:row>
    <x:row r="25">
      <x:c r="A25" s="72" t="str">
        <x:v>NF-AST-021</x:v>
      </x:c>
      <x:c r="B25" s="72" t="str">
        <x:v>ForgeVision Production Platform</x:v>
      </x:c>
      <x:c r="C25" s="72" t="str">
        <x:v>Business Application</x:v>
      </x:c>
      <x:c r="D25" s="72" t="str">
        <x:v>Engineering &amp; R&amp;D</x:v>
      </x:c>
      <x:c r="E25" s="72" t="str">
        <x:v>Chief Technology Officer (CTO)</x:v>
      </x:c>
      <x:c r="F25" s="72" t="str">
        <x:v>Software Engineering</x:v>
      </x:c>
      <x:c r="G25" s="72" t="str">
        <x:v>Restricted</x:v>
      </x:c>
      <x:c r="H25" s="72" t="str">
        <x:v>Critical</x:v>
      </x:c>
      <x:c r="I25" s="72" t="str">
        <x:v>Yes</x:v>
      </x:c>
      <x:c r="J25" s="72" t="str">
        <x:v>Yes</x:v>
      </x:c>
      <x:c r="K25" s="72" t="str">
        <x:v>Protected</x:v>
      </x:c>
      <x:c r="L25" s="72" t="str">
        <x:v>Active</x:v>
      </x:c>
      <x:c r="M25" s="75" t="n">
        <x:v>46250</x:v>
      </x:c>
      <x:c r="N25" s="72" t="n">
        <x:f>COUNTIF('Risk-Asset Map'!$B$5:$B$99,A25)</x:f>
        <x:v>3</x:v>
      </x:c>
    </x:row>
    <x:row r="26">
      <x:c r="A26" s="72" t="str">
        <x:v>NF-AST-022</x:v>
      </x:c>
      <x:c r="B26" s="72" t="str">
        <x:v>ForgeArm Robotic Arm Fleet</x:v>
      </x:c>
      <x:c r="C26" s="72" t="str">
        <x:v>Manufacturing/OT</x:v>
      </x:c>
      <x:c r="D26" s="72" t="str">
        <x:v>Manufacturing Operations</x:v>
      </x:c>
      <x:c r="E26" s="72" t="str">
        <x:v>Manufacturing Manager</x:v>
      </x:c>
      <x:c r="F26" s="72" t="str">
        <x:v>Production</x:v>
      </x:c>
      <x:c r="G26" s="72" t="str">
        <x:v>Internal</x:v>
      </x:c>
      <x:c r="H26" s="72" t="str">
        <x:v>Critical</x:v>
      </x:c>
      <x:c r="I26" s="72" t="str">
        <x:v>No</x:v>
      </x:c>
      <x:c r="J26" s="72" t="str">
        <x:v>Yes</x:v>
      </x:c>
      <x:c r="K26" s="72" t="str">
        <x:v>Protected</x:v>
      </x:c>
      <x:c r="L26" s="72" t="str">
        <x:v>Maintenance</x:v>
      </x:c>
      <x:c r="M26" s="75" t="n">
        <x:v>46250</x:v>
      </x:c>
      <x:c r="N26" s="72" t="n">
        <x:f>COUNTIF('Risk-Asset Map'!$B$5:$B$99,A26)</x:f>
        <x:v>3</x:v>
      </x:c>
    </x:row>
    <x:row r="27">
      <x:c r="A27" s="72" t="str">
        <x:v>NF-AST-023</x:v>
      </x:c>
      <x:c r="B27" s="72" t="str">
        <x:v>PLC and Cell Controller Fleet</x:v>
      </x:c>
      <x:c r="C27" s="72" t="str">
        <x:v>Manufacturing/OT</x:v>
      </x:c>
      <x:c r="D27" s="72" t="str">
        <x:v>Manufacturing Operations</x:v>
      </x:c>
      <x:c r="E27" s="72" t="str">
        <x:v>Manufacturing Manager</x:v>
      </x:c>
      <x:c r="F27" s="72" t="str">
        <x:v>Production</x:v>
      </x:c>
      <x:c r="G27" s="72" t="str">
        <x:v>Restricted</x:v>
      </x:c>
      <x:c r="H27" s="72" t="str">
        <x:v>Critical</x:v>
      </x:c>
      <x:c r="I27" s="72" t="str">
        <x:v>No</x:v>
      </x:c>
      <x:c r="J27" s="72" t="str">
        <x:v>Yes</x:v>
      </x:c>
      <x:c r="K27" s="72" t="str">
        <x:v>Protected</x:v>
      </x:c>
      <x:c r="L27" s="72" t="str">
        <x:v>Maintenance</x:v>
      </x:c>
      <x:c r="M27" s="75" t="n">
        <x:v>46250</x:v>
      </x:c>
      <x:c r="N27" s="72" t="n">
        <x:f>COUNTIF('Risk-Asset Map'!$B$5:$B$99,A27)</x:f>
        <x:v>2</x:v>
      </x:c>
    </x:row>
    <x:row r="28">
      <x:c r="A28" s="72" t="str">
        <x:v>NF-AST-024</x:v>
      </x:c>
      <x:c r="B28" s="72" t="str">
        <x:v>OT Engineering Workstations</x:v>
      </x:c>
      <x:c r="C28" s="72" t="str">
        <x:v>Endpoint</x:v>
      </x:c>
      <x:c r="D28" s="72" t="str">
        <x:v>Manufacturing Operations</x:v>
      </x:c>
      <x:c r="E28" s="72" t="str">
        <x:v>Manufacturing Manager</x:v>
      </x:c>
      <x:c r="F28" s="72" t="str">
        <x:v>Robotics Testing</x:v>
      </x:c>
      <x:c r="G28" s="72" t="str">
        <x:v>Restricted</x:v>
      </x:c>
      <x:c r="H28" s="72" t="str">
        <x:v>High</x:v>
      </x:c>
      <x:c r="I28" s="72" t="str">
        <x:v>No</x:v>
      </x:c>
      <x:c r="J28" s="72" t="str">
        <x:v>Yes</x:v>
      </x:c>
      <x:c r="K28" s="72" t="str">
        <x:v>Partial</x:v>
      </x:c>
      <x:c r="L28" s="72" t="str">
        <x:v>Active</x:v>
      </x:c>
      <x:c r="M28" s="75" t="n">
        <x:v>46250</x:v>
      </x:c>
      <x:c r="N28" s="72" t="n">
        <x:f>COUNTIF('Risk-Asset Map'!$B$5:$B$99,A28)</x:f>
        <x:v>1</x:v>
      </x:c>
    </x:row>
    <x:row r="29">
      <x:c r="A29" s="72" t="str">
        <x:v>NF-AST-025</x:v>
      </x:c>
      <x:c r="B29" s="72" t="str">
        <x:v>Manufacturing OT Network</x:v>
      </x:c>
      <x:c r="C29" s="72" t="str">
        <x:v>Network Device</x:v>
      </x:c>
      <x:c r="D29" s="72" t="str">
        <x:v>Manufacturing Operations</x:v>
      </x:c>
      <x:c r="E29" s="72" t="str">
        <x:v>Manufacturing Manager</x:v>
      </x:c>
      <x:c r="F29" s="72" t="str">
        <x:v>Network Administration</x:v>
      </x:c>
      <x:c r="G29" s="72" t="str">
        <x:v>Restricted</x:v>
      </x:c>
      <x:c r="H29" s="72" t="str">
        <x:v>Critical</x:v>
      </x:c>
      <x:c r="I29" s="72" t="str">
        <x:v>No</x:v>
      </x:c>
      <x:c r="J29" s="72" t="str">
        <x:v>Yes</x:v>
      </x:c>
      <x:c r="K29" s="72" t="str">
        <x:v>Protected</x:v>
      </x:c>
      <x:c r="L29" s="72" t="str">
        <x:v>Active</x:v>
      </x:c>
      <x:c r="M29" s="75" t="n">
        <x:v>46250</x:v>
      </x:c>
      <x:c r="N29" s="72" t="n">
        <x:f>COUNTIF('Risk-Asset Map'!$B$5:$B$99,A29)</x:f>
        <x:v>2</x:v>
      </x:c>
    </x:row>
    <x:row r="30">
      <x:c r="A30" s="72" t="str">
        <x:v>NF-AST-026</x:v>
      </x:c>
      <x:c r="B30" s="72" t="str">
        <x:v>Robotics Test Cell Systems</x:v>
      </x:c>
      <x:c r="C30" s="72" t="str">
        <x:v>Manufacturing/OT</x:v>
      </x:c>
      <x:c r="D30" s="72" t="str">
        <x:v>Manufacturing Operations</x:v>
      </x:c>
      <x:c r="E30" s="72" t="str">
        <x:v>Manufacturing Manager</x:v>
      </x:c>
      <x:c r="F30" s="72" t="str">
        <x:v>Robotics Testing</x:v>
      </x:c>
      <x:c r="G30" s="72" t="str">
        <x:v>Confidential</x:v>
      </x:c>
      <x:c r="H30" s="72" t="str">
        <x:v>High</x:v>
      </x:c>
      <x:c r="I30" s="72" t="str">
        <x:v>No</x:v>
      </x:c>
      <x:c r="J30" s="72" t="str">
        <x:v>Yes</x:v>
      </x:c>
      <x:c r="K30" s="72" t="str">
        <x:v>Partial</x:v>
      </x:c>
      <x:c r="L30" s="72" t="str">
        <x:v>Active</x:v>
      </x:c>
      <x:c r="M30" s="75" t="n">
        <x:v>46250</x:v>
      </x:c>
      <x:c r="N30" s="72" t="n">
        <x:f>COUNTIF('Risk-Asset Map'!$B$5:$B$99,A30)</x:f>
        <x:v>3</x:v>
      </x:c>
    </x:row>
    <x:row r="31">
      <x:c r="A31" s="72" t="str">
        <x:v>NF-AST-027</x:v>
      </x:c>
      <x:c r="B31" s="72" t="str">
        <x:v>Manufacturing Execution System</x:v>
      </x:c>
      <x:c r="C31" s="72" t="str">
        <x:v>Business Application</x:v>
      </x:c>
      <x:c r="D31" s="72" t="str">
        <x:v>Manufacturing Operations</x:v>
      </x:c>
      <x:c r="E31" s="72" t="str">
        <x:v>Manufacturing Manager</x:v>
      </x:c>
      <x:c r="F31" s="72" t="str">
        <x:v>Production</x:v>
      </x:c>
      <x:c r="G31" s="72" t="str">
        <x:v>Confidential</x:v>
      </x:c>
      <x:c r="H31" s="72" t="str">
        <x:v>Critical</x:v>
      </x:c>
      <x:c r="I31" s="72" t="str">
        <x:v>Yes</x:v>
      </x:c>
      <x:c r="J31" s="72" t="str">
        <x:v>Yes</x:v>
      </x:c>
      <x:c r="K31" s="72" t="str">
        <x:v>Protected</x:v>
      </x:c>
      <x:c r="L31" s="72" t="str">
        <x:v>Active</x:v>
      </x:c>
      <x:c r="M31" s="75" t="n">
        <x:v>46250</x:v>
      </x:c>
      <x:c r="N31" s="72" t="n">
        <x:f>COUNTIF('Risk-Asset Map'!$B$5:$B$99,A31)</x:f>
        <x:v>1</x:v>
      </x:c>
    </x:row>
    <x:row r="32">
      <x:c r="A32" s="72" t="str">
        <x:v>NF-AST-028</x:v>
      </x:c>
      <x:c r="B32" s="72" t="str">
        <x:v>Warehouse Management System</x:v>
      </x:c>
      <x:c r="C32" s="72" t="str">
        <x:v>Business Application</x:v>
      </x:c>
      <x:c r="D32" s="72" t="str">
        <x:v>Supply Chain &amp; Procurement</x:v>
      </x:c>
      <x:c r="E32" s="72" t="str">
        <x:v>Supply Chain &amp; Procurement Manager</x:v>
      </x:c>
      <x:c r="F32" s="72" t="str">
        <x:v>Warehouse</x:v>
      </x:c>
      <x:c r="G32" s="72" t="str">
        <x:v>Confidential</x:v>
      </x:c>
      <x:c r="H32" s="72" t="str">
        <x:v>High</x:v>
      </x:c>
      <x:c r="I32" s="72" t="str">
        <x:v>Yes</x:v>
      </x:c>
      <x:c r="J32" s="72" t="str">
        <x:v>Yes</x:v>
      </x:c>
      <x:c r="K32" s="72" t="str">
        <x:v>Protected</x:v>
      </x:c>
      <x:c r="L32" s="72" t="str">
        <x:v>Active</x:v>
      </x:c>
      <x:c r="M32" s="75" t="n">
        <x:v>46250</x:v>
      </x:c>
      <x:c r="N32" s="72" t="n">
        <x:f>COUNTIF('Risk-Asset Map'!$B$5:$B$99,A32)</x:f>
        <x:v>1</x:v>
      </x:c>
    </x:row>
    <x:row r="33">
      <x:c r="A33" s="72" t="str">
        <x:v>NF-AST-029</x:v>
      </x:c>
      <x:c r="B33" s="72" t="str">
        <x:v>HRIS and Payroll Platform</x:v>
      </x:c>
      <x:c r="C33" s="72" t="str">
        <x:v>Business Application</x:v>
      </x:c>
      <x:c r="D33" s="72" t="str">
        <x:v>Human Resources</x:v>
      </x:c>
      <x:c r="E33" s="72" t="str">
        <x:v>Director of Human Resources</x:v>
      </x:c>
      <x:c r="F33" s="72" t="str">
        <x:v>Human Resources</x:v>
      </x:c>
      <x:c r="G33" s="72" t="str">
        <x:v>Restricted</x:v>
      </x:c>
      <x:c r="H33" s="72" t="str">
        <x:v>High</x:v>
      </x:c>
      <x:c r="I33" s="72" t="str">
        <x:v>Yes</x:v>
      </x:c>
      <x:c r="J33" s="72" t="str">
        <x:v>Yes</x:v>
      </x:c>
      <x:c r="K33" s="72" t="str">
        <x:v>Protected</x:v>
      </x:c>
      <x:c r="L33" s="72" t="str">
        <x:v>Active</x:v>
      </x:c>
      <x:c r="M33" s="75" t="n">
        <x:v>46250</x:v>
      </x:c>
      <x:c r="N33" s="72" t="n">
        <x:f>COUNTIF('Risk-Asset Map'!$B$5:$B$99,A33)</x:f>
        <x:v>2</x:v>
      </x:c>
    </x:row>
    <x:row r="34">
      <x:c r="A34" s="72" t="str">
        <x:v>NF-AST-030</x:v>
      </x:c>
      <x:c r="B34" s="72" t="str">
        <x:v>ERP and Financial System</x:v>
      </x:c>
      <x:c r="C34" s="72" t="str">
        <x:v>Business Application</x:v>
      </x:c>
      <x:c r="D34" s="72" t="str">
        <x:v>Finance &amp; Accounting</x:v>
      </x:c>
      <x:c r="E34" s="72" t="str">
        <x:v>Chief Financial Officer (CFO)</x:v>
      </x:c>
      <x:c r="F34" s="72" t="str">
        <x:v>Finance &amp; Accounting</x:v>
      </x:c>
      <x:c r="G34" s="72" t="str">
        <x:v>Restricted</x:v>
      </x:c>
      <x:c r="H34" s="72" t="str">
        <x:v>High</x:v>
      </x:c>
      <x:c r="I34" s="72" t="str">
        <x:v>Yes</x:v>
      </x:c>
      <x:c r="J34" s="72" t="str">
        <x:v>Yes</x:v>
      </x:c>
      <x:c r="K34" s="72" t="str">
        <x:v>Protected</x:v>
      </x:c>
      <x:c r="L34" s="72" t="str">
        <x:v>Active</x:v>
      </x:c>
      <x:c r="M34" s="75" t="n">
        <x:v>46250</x:v>
      </x:c>
      <x:c r="N34" s="72" t="n">
        <x:f>COUNTIF('Risk-Asset Map'!$B$5:$B$99,A34)</x:f>
        <x:v>3</x:v>
      </x:c>
    </x:row>
    <x:row r="35">
      <x:c r="A35" s="72" t="str">
        <x:v>NF-AST-031</x:v>
      </x:c>
      <x:c r="B35" s="72" t="str">
        <x:v>Customer Support Portal</x:v>
      </x:c>
      <x:c r="C35" s="72" t="str">
        <x:v>Business Application</x:v>
      </x:c>
      <x:c r="D35" s="72" t="str">
        <x:v>Sales &amp; Customer Success</x:v>
      </x:c>
      <x:c r="E35" s="72" t="str">
        <x:v>VP of Sales &amp; Customer Success</x:v>
      </x:c>
      <x:c r="F35" s="72" t="str">
        <x:v>Customer Success</x:v>
      </x:c>
      <x:c r="G35" s="72" t="str">
        <x:v>Confidential</x:v>
      </x:c>
      <x:c r="H35" s="72" t="str">
        <x:v>High</x:v>
      </x:c>
      <x:c r="I35" s="72" t="str">
        <x:v>Yes</x:v>
      </x:c>
      <x:c r="J35" s="72" t="str">
        <x:v>Yes</x:v>
      </x:c>
      <x:c r="K35" s="72" t="str">
        <x:v>Protected</x:v>
      </x:c>
      <x:c r="L35" s="72" t="str">
        <x:v>Active</x:v>
      </x:c>
      <x:c r="M35" s="75" t="n">
        <x:v>46250</x:v>
      </x:c>
      <x:c r="N35" s="72" t="n">
        <x:f>COUNTIF('Risk-Asset Map'!$B$5:$B$99,A35)</x:f>
        <x:v>2</x:v>
      </x:c>
    </x:row>
    <x:row r="36">
      <x:c r="A36" s="72" t="str">
        <x:v>NF-AST-032</x:v>
      </x:c>
      <x:c r="B36" s="72" t="str">
        <x:v>NovaCare Remote Diagnostics Platform</x:v>
      </x:c>
      <x:c r="C36" s="72" t="str">
        <x:v>Business Application</x:v>
      </x:c>
      <x:c r="D36" s="72" t="str">
        <x:v>Field Services</x:v>
      </x:c>
      <x:c r="E36" s="72" t="str">
        <x:v>Director of Field Services</x:v>
      </x:c>
      <x:c r="F36" s="72" t="str">
        <x:v>Software Engineering</x:v>
      </x:c>
      <x:c r="G36" s="72" t="str">
        <x:v>Confidential</x:v>
      </x:c>
      <x:c r="H36" s="72" t="str">
        <x:v>High</x:v>
      </x:c>
      <x:c r="I36" s="72" t="str">
        <x:v>Yes</x:v>
      </x:c>
      <x:c r="J36" s="72" t="str">
        <x:v>Yes</x:v>
      </x:c>
      <x:c r="K36" s="72" t="str">
        <x:v>Protected</x:v>
      </x:c>
      <x:c r="L36" s="72" t="str">
        <x:v>Active</x:v>
      </x:c>
      <x:c r="M36" s="75" t="n">
        <x:v>46250</x:v>
      </x:c>
      <x:c r="N36" s="72" t="n">
        <x:f>COUNTIF('Risk-Asset Map'!$B$5:$B$99,A36)</x:f>
        <x:v>3</x:v>
      </x:c>
    </x:row>
    <x:row r="37">
      <x:c r="A37" s="72" t="str">
        <x:v>NF-AST-033</x:v>
      </x:c>
      <x:c r="B37" s="72" t="str">
        <x:v>Intellectual Property Repository</x:v>
      </x:c>
      <x:c r="C37" s="72" t="str">
        <x:v>Information Asset</x:v>
      </x:c>
      <x:c r="D37" s="72" t="str">
        <x:v>Engineering &amp; R&amp;D</x:v>
      </x:c>
      <x:c r="E37" s="72" t="str">
        <x:v>Chief Technology Officer (CTO)</x:v>
      </x:c>
      <x:c r="F37" s="72" t="str">
        <x:v>Director of Engineering &amp; R&amp;D</x:v>
      </x:c>
      <x:c r="G37" s="72" t="str">
        <x:v>Restricted</x:v>
      </x:c>
      <x:c r="H37" s="72" t="str">
        <x:v>Critical</x:v>
      </x:c>
      <x:c r="I37" s="72" t="str">
        <x:v>No</x:v>
      </x:c>
      <x:c r="J37" s="72" t="str">
        <x:v>Yes</x:v>
      </x:c>
      <x:c r="K37" s="72" t="str">
        <x:v>Protected</x:v>
      </x:c>
      <x:c r="L37" s="72" t="str">
        <x:v>Active</x:v>
      </x:c>
      <x:c r="M37" s="75" t="n">
        <x:v>46250</x:v>
      </x:c>
      <x:c r="N37" s="72" t="n">
        <x:f>COUNTIF('Risk-Asset Map'!$B$5:$B$99,A37)</x:f>
        <x:v>2</x:v>
      </x:c>
    </x:row>
    <x:row r="38">
      <x:c r="A38" s="72" t="str">
        <x:v>NF-AST-034</x:v>
      </x:c>
      <x:c r="B38" s="72" t="str">
        <x:v>Employee Records</x:v>
      </x:c>
      <x:c r="C38" s="72" t="str">
        <x:v>Information Asset</x:v>
      </x:c>
      <x:c r="D38" s="72" t="str">
        <x:v>Human Resources</x:v>
      </x:c>
      <x:c r="E38" s="72" t="str">
        <x:v>Director of Human Resources</x:v>
      </x:c>
      <x:c r="F38" s="72" t="str">
        <x:v>Human Resources</x:v>
      </x:c>
      <x:c r="G38" s="72" t="str">
        <x:v>Restricted</x:v>
      </x:c>
      <x:c r="H38" s="72" t="str">
        <x:v>High</x:v>
      </x:c>
      <x:c r="I38" s="72" t="str">
        <x:v>No</x:v>
      </x:c>
      <x:c r="J38" s="72" t="str">
        <x:v>Yes</x:v>
      </x:c>
      <x:c r="K38" s="72" t="str">
        <x:v>Protected</x:v>
      </x:c>
      <x:c r="L38" s="72" t="str">
        <x:v>Active</x:v>
      </x:c>
      <x:c r="M38" s="75" t="n">
        <x:v>46250</x:v>
      </x:c>
      <x:c r="N38" s="72" t="n">
        <x:f>COUNTIF('Risk-Asset Map'!$B$5:$B$99,A38)</x:f>
        <x:v>1</x:v>
      </x:c>
    </x:row>
    <x:row r="39">
      <x:c r="A39" s="73" t="str">
        <x:v>NF-AST-035</x:v>
      </x:c>
      <x:c r="B39" s="73" t="str">
        <x:v>Manufacturing and Robotics Telemetry</x:v>
      </x:c>
      <x:c r="C39" s="73" t="str">
        <x:v>Information Asset</x:v>
      </x:c>
      <x:c r="D39" s="73" t="str">
        <x:v>Manufacturing Operations</x:v>
      </x:c>
      <x:c r="E39" s="73" t="str">
        <x:v>Manufacturing Manager</x:v>
      </x:c>
      <x:c r="F39" s="73" t="str">
        <x:v>Robotics Testing</x:v>
      </x:c>
      <x:c r="G39" s="73" t="str">
        <x:v>Confidential</x:v>
      </x:c>
      <x:c r="H39" s="73" t="str">
        <x:v>High</x:v>
      </x:c>
      <x:c r="I39" s="73" t="str">
        <x:v>No</x:v>
      </x:c>
      <x:c r="J39" s="73" t="str">
        <x:v>Yes</x:v>
      </x:c>
      <x:c r="K39" s="73" t="str">
        <x:v>Protected</x:v>
      </x:c>
      <x:c r="L39" s="73" t="str">
        <x:v>Active</x:v>
      </x:c>
      <x:c r="M39" s="76" t="n">
        <x:v>46250</x:v>
      </x:c>
      <x:c r="N39" s="73" t="n">
        <x:f>COUNTIF('Risk-Asset Map'!$B$5:$B$99,A39)</x:f>
        <x:v>3</x:v>
      </x:c>
    </x:row>
  </x:sheetData>
  <x:conditionalFormatting sqref="N5:N39">
    <x:cfRule type="cellIs" dxfId="8" priority="1" operator="equal">
      <x:formula>0</x:formula>
    </x:cfRule>
    <x:cfRule type="cellIs" dxfId="9" priority="2" operator="greaterThanOrEqual">
      <x:formula>1</x:formula>
    </x:cfRule>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5" hidden="0" customWidth="1"/>
    <x:col min="4" max="4" width="30" hidden="0" customWidth="1"/>
    <x:col min="5" max="5" width="72" hidden="0" customWidth="1"/>
  </x:cols>
  <x:sheetData>
    <x:row r="1">
      <x:c r="A1" s="3" t="str">
        <x:v>NF-GRC-005 — Risk-to-Asset Mapping</x:v>
      </x:c>
      <x:c r="B1" s="1"/>
      <x:c r="C1" s="1"/>
      <x:c r="D1" s="1"/>
      <x:c r="E1" s="1"/>
    </x:row>
    <x:row r="2">
      <x:c r="A2" s="6" t="str">
        <x:v>Normalized mapping that supports auditable 35/35 baseline asset coverage</x:v>
      </x:c>
      <x:c r="B2" s="4"/>
      <x:c r="C2" s="4"/>
      <x:c r="D2" s="4"/>
      <x:c r="E2" s="4"/>
    </x:row>
    <x:row r="4">
      <x:c r="A4" s="61" t="str">
        <x:v>Risk ID</x:v>
      </x:c>
      <x:c r="B4" s="62" t="str">
        <x:v>Asset ID</x:v>
      </x:c>
      <x:c r="C4" s="62" t="str">
        <x:v>Relationship</x:v>
      </x:c>
      <x:c r="D4" s="62" t="str">
        <x:v>Risk Domain</x:v>
      </x:c>
      <x:c r="E4" s="63" t="str">
        <x:v>Risk Scenario</x:v>
      </x:c>
    </x:row>
    <x:row r="5">
      <x:c r="A5" s="71" t="str">
        <x:v>NF-RSK-001</x:v>
      </x:c>
      <x:c r="B5" s="71" t="str">
        <x:v>NF-AST-002</x:v>
      </x:c>
      <x:c r="C5" s="71" t="str">
        <x:v>Primary</x:v>
      </x:c>
      <x:c r="D5" s="71" t="str">
        <x:v>Identity &amp; Access</x:v>
      </x:c>
      <x:c r="E5" s="71" t="str">
        <x:v>Compromise of privileged or workforce identities enables unauthorized access across core services.</x:v>
      </x:c>
    </x:row>
    <x:row r="6">
      <x:c r="A6" s="72" t="str">
        <x:v>NF-RSK-001</x:v>
      </x:c>
      <x:c r="B6" s="72" t="str">
        <x:v>NF-AST-001</x:v>
      </x:c>
      <x:c r="C6" s="72" t="str">
        <x:v>Related</x:v>
      </x:c>
      <x:c r="D6" s="72" t="str">
        <x:v>Identity &amp; Access</x:v>
      </x:c>
      <x:c r="E6" s="72" t="str">
        <x:v>Compromise of privileged or workforce identities enables unauthorized access across core services.</x:v>
      </x:c>
    </x:row>
    <x:row r="7">
      <x:c r="A7" s="72" t="str">
        <x:v>NF-RSK-001</x:v>
      </x:c>
      <x:c r="B7" s="72" t="str">
        <x:v>NF-AST-013</x:v>
      </x:c>
      <x:c r="C7" s="72" t="str">
        <x:v>Related</x:v>
      </x:c>
      <x:c r="D7" s="72" t="str">
        <x:v>Identity &amp; Access</x:v>
      </x:c>
      <x:c r="E7" s="72" t="str">
        <x:v>Compromise of privileged or workforce identities enables unauthorized access across core services.</x:v>
      </x:c>
    </x:row>
    <x:row r="8">
      <x:c r="A8" s="72" t="str">
        <x:v>NF-RSK-002</x:v>
      </x:c>
      <x:c r="B8" s="72" t="str">
        <x:v>NF-AST-003</x:v>
      </x:c>
      <x:c r="C8" s="72" t="str">
        <x:v>Primary</x:v>
      </x:c>
      <x:c r="D8" s="72" t="str">
        <x:v>Cloud &amp; Application Security</x:v>
      </x:c>
      <x:c r="E8" s="72" t="str">
        <x:v>Cloud misconfiguration exposes production data or services to unauthorized access.</x:v>
      </x:c>
    </x:row>
    <x:row r="9">
      <x:c r="A9" s="72" t="str">
        <x:v>NF-RSK-002</x:v>
      </x:c>
      <x:c r="B9" s="72" t="str">
        <x:v>NF-AST-004</x:v>
      </x:c>
      <x:c r="C9" s="72" t="str">
        <x:v>Related</x:v>
      </x:c>
      <x:c r="D9" s="72" t="str">
        <x:v>Cloud &amp; Application Security</x:v>
      </x:c>
      <x:c r="E9" s="72" t="str">
        <x:v>Cloud misconfiguration exposes production data or services to unauthorized access.</x:v>
      </x:c>
    </x:row>
    <x:row r="10">
      <x:c r="A10" s="72" t="str">
        <x:v>NF-RSK-002</x:v>
      </x:c>
      <x:c r="B10" s="72" t="str">
        <x:v>NF-AST-021</x:v>
      </x:c>
      <x:c r="C10" s="72" t="str">
        <x:v>Related</x:v>
      </x:c>
      <x:c r="D10" s="72" t="str">
        <x:v>Cloud &amp; Application Security</x:v>
      </x:c>
      <x:c r="E10" s="72" t="str">
        <x:v>Cloud misconfiguration exposes production data or services to unauthorized access.</x:v>
      </x:c>
    </x:row>
    <x:row r="11">
      <x:c r="A11" s="72" t="str">
        <x:v>NF-RSK-002</x:v>
      </x:c>
      <x:c r="B11" s="72" t="str">
        <x:v>NF-AST-032</x:v>
      </x:c>
      <x:c r="C11" s="72" t="str">
        <x:v>Related</x:v>
      </x:c>
      <x:c r="D11" s="72" t="str">
        <x:v>Cloud &amp; Application Security</x:v>
      </x:c>
      <x:c r="E11" s="72" t="str">
        <x:v>Cloud misconfiguration exposes production data or services to unauthorized access.</x:v>
      </x:c>
    </x:row>
    <x:row r="12">
      <x:c r="A12" s="72" t="str">
        <x:v>NF-RSK-002</x:v>
      </x:c>
      <x:c r="B12" s="72" t="str">
        <x:v>NF-AST-035</x:v>
      </x:c>
      <x:c r="C12" s="72" t="str">
        <x:v>Related</x:v>
      </x:c>
      <x:c r="D12" s="72" t="str">
        <x:v>Cloud &amp; Application Security</x:v>
      </x:c>
      <x:c r="E12" s="72" t="str">
        <x:v>Cloud misconfiguration exposes production data or services to unauthorized access.</x:v>
      </x:c>
    </x:row>
    <x:row r="13">
      <x:c r="A13" s="72" t="str">
        <x:v>NF-RSK-003</x:v>
      </x:c>
      <x:c r="B13" s="72" t="str">
        <x:v>NF-AST-010</x:v>
      </x:c>
      <x:c r="C13" s="72" t="str">
        <x:v>Primary</x:v>
      </x:c>
      <x:c r="D13" s="72" t="str">
        <x:v>Endpoint &amp; Infrastructure</x:v>
      </x:c>
      <x:c r="E13" s="72" t="str">
        <x:v>Ransomware disrupts corporate operations and encrypts business data.</x:v>
      </x:c>
    </x:row>
    <x:row r="14">
      <x:c r="A14" s="72" t="str">
        <x:v>NF-RSK-003</x:v>
      </x:c>
      <x:c r="B14" s="72" t="str">
        <x:v>NF-AST-001</x:v>
      </x:c>
      <x:c r="C14" s="72" t="str">
        <x:v>Related</x:v>
      </x:c>
      <x:c r="D14" s="72" t="str">
        <x:v>Endpoint &amp; Infrastructure</x:v>
      </x:c>
      <x:c r="E14" s="72" t="str">
        <x:v>Ransomware disrupts corporate operations and encrypts business data.</x:v>
      </x:c>
    </x:row>
    <x:row r="15">
      <x:c r="A15" s="72" t="str">
        <x:v>NF-RSK-003</x:v>
      </x:c>
      <x:c r="B15" s="72" t="str">
        <x:v>NF-AST-011</x:v>
      </x:c>
      <x:c r="C15" s="72" t="str">
        <x:v>Related</x:v>
      </x:c>
      <x:c r="D15" s="72" t="str">
        <x:v>Endpoint &amp; Infrastructure</x:v>
      </x:c>
      <x:c r="E15" s="72" t="str">
        <x:v>Ransomware disrupts corporate operations and encrypts business data.</x:v>
      </x:c>
    </x:row>
    <x:row r="16">
      <x:c r="A16" s="72" t="str">
        <x:v>NF-RSK-004</x:v>
      </x:c>
      <x:c r="B16" s="72" t="str">
        <x:v>NF-AST-005</x:v>
      </x:c>
      <x:c r="C16" s="72" t="str">
        <x:v>Primary</x:v>
      </x:c>
      <x:c r="D16" s="72" t="str">
        <x:v>Software &amp; Product Security</x:v>
      </x:c>
      <x:c r="E16" s="72" t="str">
        <x:v>Compromise of the source-code or CI/CD supply chain introduces malicious code into products.</x:v>
      </x:c>
    </x:row>
    <x:row r="17">
      <x:c r="A17" s="72" t="str">
        <x:v>NF-RSK-004</x:v>
      </x:c>
      <x:c r="B17" s="72" t="str">
        <x:v>NF-AST-020</x:v>
      </x:c>
      <x:c r="C17" s="72" t="str">
        <x:v>Related</x:v>
      </x:c>
      <x:c r="D17" s="72" t="str">
        <x:v>Software &amp; Product Security</x:v>
      </x:c>
      <x:c r="E17" s="72" t="str">
        <x:v>Compromise of the source-code or CI/CD supply chain introduces malicious code into products.</x:v>
      </x:c>
    </x:row>
    <x:row r="18">
      <x:c r="A18" s="72" t="str">
        <x:v>NF-RSK-004</x:v>
      </x:c>
      <x:c r="B18" s="72" t="str">
        <x:v>NF-AST-033</x:v>
      </x:c>
      <x:c r="C18" s="72" t="str">
        <x:v>Related</x:v>
      </x:c>
      <x:c r="D18" s="72" t="str">
        <x:v>Software &amp; Product Security</x:v>
      </x:c>
      <x:c r="E18" s="72" t="str">
        <x:v>Compromise of the source-code or CI/CD supply chain introduces malicious code into products.</x:v>
      </x:c>
    </x:row>
    <x:row r="19">
      <x:c r="A19" s="72" t="str">
        <x:v>NF-RSK-005</x:v>
      </x:c>
      <x:c r="B19" s="72" t="str">
        <x:v>NF-AST-020</x:v>
      </x:c>
      <x:c r="C19" s="72" t="str">
        <x:v>Primary</x:v>
      </x:c>
      <x:c r="D19" s="72" t="str">
        <x:v>Software &amp; Product Security</x:v>
      </x:c>
      <x:c r="E19" s="72" t="str">
        <x:v>Firmware-signing key compromise permits unauthorized firmware to appear trusted.</x:v>
      </x:c>
    </x:row>
    <x:row r="20">
      <x:c r="A20" s="72" t="str">
        <x:v>NF-RSK-005</x:v>
      </x:c>
      <x:c r="B20" s="72" t="str">
        <x:v>NF-AST-022</x:v>
      </x:c>
      <x:c r="C20" s="72" t="str">
        <x:v>Related</x:v>
      </x:c>
      <x:c r="D20" s="72" t="str">
        <x:v>Software &amp; Product Security</x:v>
      </x:c>
      <x:c r="E20" s="72" t="str">
        <x:v>Firmware-signing key compromise permits unauthorized firmware to appear trusted.</x:v>
      </x:c>
    </x:row>
    <x:row r="21">
      <x:c r="A21" s="72" t="str">
        <x:v>NF-RSK-005</x:v>
      </x:c>
      <x:c r="B21" s="72" t="str">
        <x:v>NF-AST-032</x:v>
      </x:c>
      <x:c r="C21" s="72" t="str">
        <x:v>Related</x:v>
      </x:c>
      <x:c r="D21" s="72" t="str">
        <x:v>Software &amp; Product Security</x:v>
      </x:c>
      <x:c r="E21" s="72" t="str">
        <x:v>Firmware-signing key compromise permits unauthorized firmware to appear trusted.</x:v>
      </x:c>
    </x:row>
    <x:row r="22">
      <x:c r="A22" s="72" t="str">
        <x:v>NF-RSK-006</x:v>
      </x:c>
      <x:c r="B22" s="72" t="str">
        <x:v>NF-AST-025</x:v>
      </x:c>
      <x:c r="C22" s="72" t="str">
        <x:v>Primary</x:v>
      </x:c>
      <x:c r="D22" s="72" t="str">
        <x:v>Operational Technology</x:v>
      </x:c>
      <x:c r="E22" s="72" t="str">
        <x:v>Unauthorized OT access disrupts production or creates an unsafe robotic condition.</x:v>
      </x:c>
    </x:row>
    <x:row r="23">
      <x:c r="A23" s="72" t="str">
        <x:v>NF-RSK-006</x:v>
      </x:c>
      <x:c r="B23" s="72" t="str">
        <x:v>NF-AST-022</x:v>
      </x:c>
      <x:c r="C23" s="72" t="str">
        <x:v>Related</x:v>
      </x:c>
      <x:c r="D23" s="72" t="str">
        <x:v>Operational Technology</x:v>
      </x:c>
      <x:c r="E23" s="72" t="str">
        <x:v>Unauthorized OT access disrupts production or creates an unsafe robotic condition.</x:v>
      </x:c>
    </x:row>
    <x:row r="24">
      <x:c r="A24" s="72" t="str">
        <x:v>NF-RSK-006</x:v>
      </x:c>
      <x:c r="B24" s="72" t="str">
        <x:v>NF-AST-023</x:v>
      </x:c>
      <x:c r="C24" s="72" t="str">
        <x:v>Related</x:v>
      </x:c>
      <x:c r="D24" s="72" t="str">
        <x:v>Operational Technology</x:v>
      </x:c>
      <x:c r="E24" s="72" t="str">
        <x:v>Unauthorized OT access disrupts production or creates an unsafe robotic condition.</x:v>
      </x:c>
    </x:row>
    <x:row r="25">
      <x:c r="A25" s="72" t="str">
        <x:v>NF-RSK-006</x:v>
      </x:c>
      <x:c r="B25" s="72" t="str">
        <x:v>NF-AST-026</x:v>
      </x:c>
      <x:c r="C25" s="72" t="str">
        <x:v>Related</x:v>
      </x:c>
      <x:c r="D25" s="72" t="str">
        <x:v>Operational Technology</x:v>
      </x:c>
      <x:c r="E25" s="72" t="str">
        <x:v>Unauthorized OT access disrupts production or creates an unsafe robotic condition.</x:v>
      </x:c>
    </x:row>
    <x:row r="26">
      <x:c r="A26" s="72" t="str">
        <x:v>NF-RSK-007</x:v>
      </x:c>
      <x:c r="B26" s="72" t="str">
        <x:v>NF-AST-021</x:v>
      </x:c>
      <x:c r="C26" s="72" t="str">
        <x:v>Primary</x:v>
      </x:c>
      <x:c r="D26" s="72" t="str">
        <x:v>Cloud &amp; Application Security</x:v>
      </x:c>
      <x:c r="E26" s="72" t="str">
        <x:v>A regional cloud or platform failure makes ForgeVision unavailable to customers.</x:v>
      </x:c>
    </x:row>
    <x:row r="27">
      <x:c r="A27" s="72" t="str">
        <x:v>NF-RSK-007</x:v>
      </x:c>
      <x:c r="B27" s="72" t="str">
        <x:v>NF-AST-003</x:v>
      </x:c>
      <x:c r="C27" s="72" t="str">
        <x:v>Related</x:v>
      </x:c>
      <x:c r="D27" s="72" t="str">
        <x:v>Cloud &amp; Application Security</x:v>
      </x:c>
      <x:c r="E27" s="72" t="str">
        <x:v>A regional cloud or platform failure makes ForgeVision unavailable to customers.</x:v>
      </x:c>
    </x:row>
    <x:row r="28">
      <x:c r="A28" s="72" t="str">
        <x:v>NF-RSK-007</x:v>
      </x:c>
      <x:c r="B28" s="72" t="str">
        <x:v>NF-AST-035</x:v>
      </x:c>
      <x:c r="C28" s="72" t="str">
        <x:v>Related</x:v>
      </x:c>
      <x:c r="D28" s="72" t="str">
        <x:v>Cloud &amp; Application Security</x:v>
      </x:c>
      <x:c r="E28" s="72" t="str">
        <x:v>A regional cloud or platform failure makes ForgeVision unavailable to customers.</x:v>
      </x:c>
    </x:row>
    <x:row r="29">
      <x:c r="A29" s="72" t="str">
        <x:v>NF-RSK-008</x:v>
      </x:c>
      <x:c r="B29" s="72" t="str">
        <x:v>NF-AST-027</x:v>
      </x:c>
      <x:c r="C29" s="72" t="str">
        <x:v>Primary</x:v>
      </x:c>
      <x:c r="D29" s="72" t="str">
        <x:v>Business Resilience &amp; Fraud</x:v>
      </x:c>
      <x:c r="E29" s="72" t="str">
        <x:v>Manufacturing system outage stops work-order execution and delays shipment.</x:v>
      </x:c>
    </x:row>
    <x:row r="30">
      <x:c r="A30" s="72" t="str">
        <x:v>NF-RSK-008</x:v>
      </x:c>
      <x:c r="B30" s="72" t="str">
        <x:v>NF-AST-028</x:v>
      </x:c>
      <x:c r="C30" s="72" t="str">
        <x:v>Related</x:v>
      </x:c>
      <x:c r="D30" s="72" t="str">
        <x:v>Business Resilience &amp; Fraud</x:v>
      </x:c>
      <x:c r="E30" s="72" t="str">
        <x:v>Manufacturing system outage stops work-order execution and delays shipment.</x:v>
      </x:c>
    </x:row>
    <x:row r="31">
      <x:c r="A31" s="72" t="str">
        <x:v>NF-RSK-008</x:v>
      </x:c>
      <x:c r="B31" s="72" t="str">
        <x:v>NF-AST-030</x:v>
      </x:c>
      <x:c r="C31" s="72" t="str">
        <x:v>Related</x:v>
      </x:c>
      <x:c r="D31" s="72" t="str">
        <x:v>Business Resilience &amp; Fraud</x:v>
      </x:c>
      <x:c r="E31" s="72" t="str">
        <x:v>Manufacturing system outage stops work-order execution and delays shipment.</x:v>
      </x:c>
    </x:row>
    <x:row r="32">
      <x:c r="A32" s="72" t="str">
        <x:v>NF-RSK-009</x:v>
      </x:c>
      <x:c r="B32" s="72" t="str">
        <x:v>NF-AST-033</x:v>
      </x:c>
      <x:c r="C32" s="72" t="str">
        <x:v>Primary</x:v>
      </x:c>
      <x:c r="D32" s="72" t="str">
        <x:v>Data Protection &amp; Privacy</x:v>
      </x:c>
      <x:c r="E32" s="72" t="str">
        <x:v>Insider misuse or account compromise causes theft of proprietary designs and source code.</x:v>
      </x:c>
    </x:row>
    <x:row r="33">
      <x:c r="A33" s="72" t="str">
        <x:v>NF-RSK-009</x:v>
      </x:c>
      <x:c r="B33" s="72" t="str">
        <x:v>NF-AST-005</x:v>
      </x:c>
      <x:c r="C33" s="72" t="str">
        <x:v>Related</x:v>
      </x:c>
      <x:c r="D33" s="72" t="str">
        <x:v>Data Protection &amp; Privacy</x:v>
      </x:c>
      <x:c r="E33" s="72" t="str">
        <x:v>Insider misuse or account compromise causes theft of proprietary designs and source code.</x:v>
      </x:c>
    </x:row>
    <x:row r="34">
      <x:c r="A34" s="72" t="str">
        <x:v>NF-RSK-009</x:v>
      </x:c>
      <x:c r="B34" s="72" t="str">
        <x:v>NF-AST-007</x:v>
      </x:c>
      <x:c r="C34" s="72" t="str">
        <x:v>Related</x:v>
      </x:c>
      <x:c r="D34" s="72" t="str">
        <x:v>Data Protection &amp; Privacy</x:v>
      </x:c>
      <x:c r="E34" s="72" t="str">
        <x:v>Insider misuse or account compromise causes theft of proprietary designs and source code.</x:v>
      </x:c>
    </x:row>
    <x:row r="35">
      <x:c r="A35" s="72" t="str">
        <x:v>NF-RSK-009</x:v>
      </x:c>
      <x:c r="B35" s="72" t="str">
        <x:v>NF-AST-017</x:v>
      </x:c>
      <x:c r="C35" s="72" t="str">
        <x:v>Related</x:v>
      </x:c>
      <x:c r="D35" s="72" t="str">
        <x:v>Data Protection &amp; Privacy</x:v>
      </x:c>
      <x:c r="E35" s="72" t="str">
        <x:v>Insider misuse or account compromise causes theft of proprietary designs and source code.</x:v>
      </x:c>
    </x:row>
    <x:row r="36">
      <x:c r="A36" s="72" t="str">
        <x:v>NF-RSK-009</x:v>
      </x:c>
      <x:c r="B36" s="72" t="str">
        <x:v>NF-AST-018</x:v>
      </x:c>
      <x:c r="C36" s="72" t="str">
        <x:v>Related</x:v>
      </x:c>
      <x:c r="D36" s="72" t="str">
        <x:v>Data Protection &amp; Privacy</x:v>
      </x:c>
      <x:c r="E36" s="72" t="str">
        <x:v>Insider misuse or account compromise causes theft of proprietary designs and source code.</x:v>
      </x:c>
    </x:row>
    <x:row r="37">
      <x:c r="A37" s="72" t="str">
        <x:v>NF-RSK-009</x:v>
      </x:c>
      <x:c r="B37" s="72" t="str">
        <x:v>NF-AST-019</x:v>
      </x:c>
      <x:c r="C37" s="72" t="str">
        <x:v>Related</x:v>
      </x:c>
      <x:c r="D37" s="72" t="str">
        <x:v>Data Protection &amp; Privacy</x:v>
      </x:c>
      <x:c r="E37" s="72" t="str">
        <x:v>Insider misuse or account compromise causes theft of proprietary designs and source code.</x:v>
      </x:c>
    </x:row>
    <x:row r="38">
      <x:c r="A38" s="72" t="str">
        <x:v>NF-RSK-010</x:v>
      </x:c>
      <x:c r="B38" s="72" t="str">
        <x:v>NF-AST-034</x:v>
      </x:c>
      <x:c r="C38" s="72" t="str">
        <x:v>Primary</x:v>
      </x:c>
      <x:c r="D38" s="72" t="str">
        <x:v>Data Protection &amp; Privacy</x:v>
      </x:c>
      <x:c r="E38" s="72" t="str">
        <x:v>Exposure of employee and payroll records causes privacy, fraud, and legal harm.</x:v>
      </x:c>
    </x:row>
    <x:row r="39">
      <x:c r="A39" s="72" t="str">
        <x:v>NF-RSK-010</x:v>
      </x:c>
      <x:c r="B39" s="72" t="str">
        <x:v>NF-AST-029</x:v>
      </x:c>
      <x:c r="C39" s="72" t="str">
        <x:v>Related</x:v>
      </x:c>
      <x:c r="D39" s="72" t="str">
        <x:v>Data Protection &amp; Privacy</x:v>
      </x:c>
      <x:c r="E39" s="72" t="str">
        <x:v>Exposure of employee and payroll records causes privacy, fraud, and legal harm.</x:v>
      </x:c>
    </x:row>
    <x:row r="40">
      <x:c r="A40" s="72" t="str">
        <x:v>NF-RSK-011</x:v>
      </x:c>
      <x:c r="B40" s="72" t="str">
        <x:v>NF-AST-006</x:v>
      </x:c>
      <x:c r="C40" s="72" t="str">
        <x:v>Primary</x:v>
      </x:c>
      <x:c r="D40" s="72" t="str">
        <x:v>Third-Party Risk</x:v>
      </x:c>
      <x:c r="E40" s="72" t="str">
        <x:v>Compromise or extended outage of a critical SaaS provider affects multiple business functions.</x:v>
      </x:c>
    </x:row>
    <x:row r="41">
      <x:c r="A41" s="72" t="str">
        <x:v>NF-RSK-011</x:v>
      </x:c>
      <x:c r="B41" s="72" t="str">
        <x:v>NF-AST-007</x:v>
      </x:c>
      <x:c r="C41" s="72" t="str">
        <x:v>Related</x:v>
      </x:c>
      <x:c r="D41" s="72" t="str">
        <x:v>Third-Party Risk</x:v>
      </x:c>
      <x:c r="E41" s="72" t="str">
        <x:v>Compromise or extended outage of a critical SaaS provider affects multiple business functions.</x:v>
      </x:c>
    </x:row>
    <x:row r="42">
      <x:c r="A42" s="72" t="str">
        <x:v>NF-RSK-011</x:v>
      </x:c>
      <x:c r="B42" s="72" t="str">
        <x:v>NF-AST-008</x:v>
      </x:c>
      <x:c r="C42" s="72" t="str">
        <x:v>Related</x:v>
      </x:c>
      <x:c r="D42" s="72" t="str">
        <x:v>Third-Party Risk</x:v>
      </x:c>
      <x:c r="E42" s="72" t="str">
        <x:v>Compromise or extended outage of a critical SaaS provider affects multiple business functions.</x:v>
      </x:c>
    </x:row>
    <x:row r="43">
      <x:c r="A43" s="72" t="str">
        <x:v>NF-RSK-011</x:v>
      </x:c>
      <x:c r="B43" s="72" t="str">
        <x:v>NF-AST-029</x:v>
      </x:c>
      <x:c r="C43" s="72" t="str">
        <x:v>Related</x:v>
      </x:c>
      <x:c r="D43" s="72" t="str">
        <x:v>Third-Party Risk</x:v>
      </x:c>
      <x:c r="E43" s="72" t="str">
        <x:v>Compromise or extended outage of a critical SaaS provider affects multiple business functions.</x:v>
      </x:c>
    </x:row>
    <x:row r="44">
      <x:c r="A44" s="72" t="str">
        <x:v>NF-RSK-011</x:v>
      </x:c>
      <x:c r="B44" s="72" t="str">
        <x:v>NF-AST-030</x:v>
      </x:c>
      <x:c r="C44" s="72" t="str">
        <x:v>Related</x:v>
      </x:c>
      <x:c r="D44" s="72" t="str">
        <x:v>Third-Party Risk</x:v>
      </x:c>
      <x:c r="E44" s="72" t="str">
        <x:v>Compromise or extended outage of a critical SaaS provider affects multiple business functions.</x:v>
      </x:c>
    </x:row>
    <x:row r="45">
      <x:c r="A45" s="72" t="str">
        <x:v>NF-RSK-011</x:v>
      </x:c>
      <x:c r="B45" s="72" t="str">
        <x:v>NF-AST-031</x:v>
      </x:c>
      <x:c r="C45" s="72" t="str">
        <x:v>Related</x:v>
      </x:c>
      <x:c r="D45" s="72" t="str">
        <x:v>Third-Party Risk</x:v>
      </x:c>
      <x:c r="E45" s="72" t="str">
        <x:v>Compromise or extended outage of a critical SaaS provider affects multiple business functions.</x:v>
      </x:c>
    </x:row>
    <x:row r="46">
      <x:c r="A46" s="72" t="str">
        <x:v>NF-RSK-012</x:v>
      </x:c>
      <x:c r="B46" s="72" t="str">
        <x:v>NF-AST-032</x:v>
      </x:c>
      <x:c r="C46" s="72" t="str">
        <x:v>Primary</x:v>
      </x:c>
      <x:c r="D46" s="72" t="str">
        <x:v>Cloud &amp; Application Security</x:v>
      </x:c>
      <x:c r="E46" s="72" t="str">
        <x:v>Unauthorized use of remote diagnostics provides access to customer-deployed equipment.</x:v>
      </x:c>
    </x:row>
    <x:row r="47">
      <x:c r="A47" s="72" t="str">
        <x:v>NF-RSK-012</x:v>
      </x:c>
      <x:c r="B47" s="72" t="str">
        <x:v>NF-AST-002</x:v>
      </x:c>
      <x:c r="C47" s="72" t="str">
        <x:v>Related</x:v>
      </x:c>
      <x:c r="D47" s="72" t="str">
        <x:v>Cloud &amp; Application Security</x:v>
      </x:c>
      <x:c r="E47" s="72" t="str">
        <x:v>Unauthorized use of remote diagnostics provides access to customer-deployed equipment.</x:v>
      </x:c>
    </x:row>
    <x:row r="48">
      <x:c r="A48" s="72" t="str">
        <x:v>NF-RSK-012</x:v>
      </x:c>
      <x:c r="B48" s="72" t="str">
        <x:v>NF-AST-022</x:v>
      </x:c>
      <x:c r="C48" s="72" t="str">
        <x:v>Related</x:v>
      </x:c>
      <x:c r="D48" s="72" t="str">
        <x:v>Cloud &amp; Application Security</x:v>
      </x:c>
      <x:c r="E48" s="72" t="str">
        <x:v>Unauthorized use of remote diagnostics provides access to customer-deployed equipment.</x:v>
      </x:c>
    </x:row>
    <x:row r="49">
      <x:c r="A49" s="72" t="str">
        <x:v>NF-RSK-013</x:v>
      </x:c>
      <x:c r="B49" s="72" t="str">
        <x:v>NF-AST-016</x:v>
      </x:c>
      <x:c r="C49" s="72" t="str">
        <x:v>Primary</x:v>
      </x:c>
      <x:c r="D49" s="72" t="str">
        <x:v>Security Operations</x:v>
      </x:c>
      <x:c r="E49" s="72" t="str">
        <x:v>Incomplete logging or detection coverage delays identification and containment of attacks.</x:v>
      </x:c>
    </x:row>
    <x:row r="50">
      <x:c r="A50" s="72" t="str">
        <x:v>NF-RSK-013</x:v>
      </x:c>
      <x:c r="B50" s="72" t="str">
        <x:v>NF-AST-003</x:v>
      </x:c>
      <x:c r="C50" s="72" t="str">
        <x:v>Related</x:v>
      </x:c>
      <x:c r="D50" s="72" t="str">
        <x:v>Security Operations</x:v>
      </x:c>
      <x:c r="E50" s="72" t="str">
        <x:v>Incomplete logging or detection coverage delays identification and containment of attacks.</x:v>
      </x:c>
    </x:row>
    <x:row r="51">
      <x:c r="A51" s="72" t="str">
        <x:v>NF-RSK-013</x:v>
      </x:c>
      <x:c r="B51" s="72" t="str">
        <x:v>NF-AST-012</x:v>
      </x:c>
      <x:c r="C51" s="72" t="str">
        <x:v>Related</x:v>
      </x:c>
      <x:c r="D51" s="72" t="str">
        <x:v>Security Operations</x:v>
      </x:c>
      <x:c r="E51" s="72" t="str">
        <x:v>Incomplete logging or detection coverage delays identification and containment of attacks.</x:v>
      </x:c>
    </x:row>
    <x:row r="52">
      <x:c r="A52" s="72" t="str">
        <x:v>NF-RSK-013</x:v>
      </x:c>
      <x:c r="B52" s="72" t="str">
        <x:v>NF-AST-015</x:v>
      </x:c>
      <x:c r="C52" s="72" t="str">
        <x:v>Related</x:v>
      </x:c>
      <x:c r="D52" s="72" t="str">
        <x:v>Security Operations</x:v>
      </x:c>
      <x:c r="E52" s="72" t="str">
        <x:v>Incomplete logging or detection coverage delays identification and containment of attacks.</x:v>
      </x:c>
    </x:row>
    <x:row r="53">
      <x:c r="A53" s="72" t="str">
        <x:v>NF-RSK-014</x:v>
      </x:c>
      <x:c r="B53" s="72" t="str">
        <x:v>NF-AST-001</x:v>
      </x:c>
      <x:c r="C53" s="72" t="str">
        <x:v>Primary</x:v>
      </x:c>
      <x:c r="D53" s="72" t="str">
        <x:v>Endpoint &amp; Infrastructure</x:v>
      </x:c>
      <x:c r="E53" s="72" t="str">
        <x:v>Incomplete or untested backups prevent timely recovery after deletion, corruption, or ransomware.</x:v>
      </x:c>
    </x:row>
    <x:row r="54">
      <x:c r="A54" s="72" t="str">
        <x:v>NF-RSK-014</x:v>
      </x:c>
      <x:c r="B54" s="72" t="str">
        <x:v>NF-AST-010</x:v>
      </x:c>
      <x:c r="C54" s="72" t="str">
        <x:v>Related</x:v>
      </x:c>
      <x:c r="D54" s="72" t="str">
        <x:v>Endpoint &amp; Infrastructure</x:v>
      </x:c>
      <x:c r="E54" s="72" t="str">
        <x:v>Incomplete or untested backups prevent timely recovery after deletion, corruption, or ransomware.</x:v>
      </x:c>
    </x:row>
    <x:row r="55">
      <x:c r="A55" s="72" t="str">
        <x:v>NF-RSK-014</x:v>
      </x:c>
      <x:c r="B55" s="72" t="str">
        <x:v>NF-AST-018</x:v>
      </x:c>
      <x:c r="C55" s="72" t="str">
        <x:v>Related</x:v>
      </x:c>
      <x:c r="D55" s="72" t="str">
        <x:v>Endpoint &amp; Infrastructure</x:v>
      </x:c>
      <x:c r="E55" s="72" t="str">
        <x:v>Incomplete or untested backups prevent timely recovery after deletion, corruption, or ransomware.</x:v>
      </x:c>
    </x:row>
    <x:row r="56">
      <x:c r="A56" s="72" t="str">
        <x:v>NF-RSK-014</x:v>
      </x:c>
      <x:c r="B56" s="72" t="str">
        <x:v>NF-AST-026</x:v>
      </x:c>
      <x:c r="C56" s="72" t="str">
        <x:v>Related</x:v>
      </x:c>
      <x:c r="D56" s="72" t="str">
        <x:v>Endpoint &amp; Infrastructure</x:v>
      </x:c>
      <x:c r="E56" s="72" t="str">
        <x:v>Incomplete or untested backups prevent timely recovery after deletion, corruption, or ransomware.</x:v>
      </x:c>
    </x:row>
    <x:row r="57">
      <x:c r="A57" s="72" t="str">
        <x:v>NF-RSK-015</x:v>
      </x:c>
      <x:c r="B57" s="72" t="str">
        <x:v>NF-AST-011</x:v>
      </x:c>
      <x:c r="C57" s="72" t="str">
        <x:v>Primary</x:v>
      </x:c>
      <x:c r="D57" s="72" t="str">
        <x:v>Endpoint &amp; Infrastructure</x:v>
      </x:c>
      <x:c r="E57" s="72" t="str">
        <x:v>Delayed patching of infrastructure or maintenance-stage systems enables exploitation.</x:v>
      </x:c>
    </x:row>
    <x:row r="58">
      <x:c r="A58" s="72" t="str">
        <x:v>NF-RSK-015</x:v>
      </x:c>
      <x:c r="B58" s="72" t="str">
        <x:v>NF-AST-012</x:v>
      </x:c>
      <x:c r="C58" s="72" t="str">
        <x:v>Related</x:v>
      </x:c>
      <x:c r="D58" s="72" t="str">
        <x:v>Endpoint &amp; Infrastructure</x:v>
      </x:c>
      <x:c r="E58" s="72" t="str">
        <x:v>Delayed patching of infrastructure or maintenance-stage systems enables exploitation.</x:v>
      </x:c>
    </x:row>
    <x:row r="59">
      <x:c r="A59" s="72" t="str">
        <x:v>NF-RSK-015</x:v>
      </x:c>
      <x:c r="B59" s="72" t="str">
        <x:v>NF-AST-014</x:v>
      </x:c>
      <x:c r="C59" s="72" t="str">
        <x:v>Related</x:v>
      </x:c>
      <x:c r="D59" s="72" t="str">
        <x:v>Endpoint &amp; Infrastructure</x:v>
      </x:c>
      <x:c r="E59" s="72" t="str">
        <x:v>Delayed patching of infrastructure or maintenance-stage systems enables exploitation.</x:v>
      </x:c>
    </x:row>
    <x:row r="60">
      <x:c r="A60" s="72" t="str">
        <x:v>NF-RSK-015</x:v>
      </x:c>
      <x:c r="B60" s="72" t="str">
        <x:v>NF-AST-019</x:v>
      </x:c>
      <x:c r="C60" s="72" t="str">
        <x:v>Related</x:v>
      </x:c>
      <x:c r="D60" s="72" t="str">
        <x:v>Endpoint &amp; Infrastructure</x:v>
      </x:c>
      <x:c r="E60" s="72" t="str">
        <x:v>Delayed patching of infrastructure or maintenance-stage systems enables exploitation.</x:v>
      </x:c>
    </x:row>
    <x:row r="61">
      <x:c r="A61" s="72" t="str">
        <x:v>NF-RSK-016</x:v>
      </x:c>
      <x:c r="B61" s="72" t="str">
        <x:v>NF-AST-009</x:v>
      </x:c>
      <x:c r="C61" s="72" t="str">
        <x:v>Primary</x:v>
      </x:c>
      <x:c r="D61" s="72" t="str">
        <x:v>Cloud &amp; Application Security</x:v>
      </x:c>
      <x:c r="E61" s="72" t="str">
        <x:v>Corporate website compromise enables defacement, malicious redirects, or brand impersonation.</x:v>
      </x:c>
    </x:row>
    <x:row r="62">
      <x:c r="A62" s="72" t="str">
        <x:v>NF-RSK-017</x:v>
      </x:c>
      <x:c r="B62" s="72" t="str">
        <x:v>NF-AST-035</x:v>
      </x:c>
      <x:c r="C62" s="72" t="str">
        <x:v>Primary</x:v>
      </x:c>
      <x:c r="D62" s="72" t="str">
        <x:v>Data Protection &amp; Privacy</x:v>
      </x:c>
      <x:c r="E62" s="72" t="str">
        <x:v>Telemetry retention or integrity failures undermine operations, investigations, and product decisions.</x:v>
      </x:c>
    </x:row>
    <x:row r="63">
      <x:c r="A63" s="72" t="str">
        <x:v>NF-RSK-017</x:v>
      </x:c>
      <x:c r="B63" s="72" t="str">
        <x:v>NF-AST-021</x:v>
      </x:c>
      <x:c r="C63" s="72" t="str">
        <x:v>Related</x:v>
      </x:c>
      <x:c r="D63" s="72" t="str">
        <x:v>Data Protection &amp; Privacy</x:v>
      </x:c>
      <x:c r="E63" s="72" t="str">
        <x:v>Telemetry retention or integrity failures undermine operations, investigations, and product decisions.</x:v>
      </x:c>
    </x:row>
    <x:row r="64">
      <x:c r="A64" s="72" t="str">
        <x:v>NF-RSK-017</x:v>
      </x:c>
      <x:c r="B64" s="72" t="str">
        <x:v>NF-AST-031</x:v>
      </x:c>
      <x:c r="C64" s="72" t="str">
        <x:v>Related</x:v>
      </x:c>
      <x:c r="D64" s="72" t="str">
        <x:v>Data Protection &amp; Privacy</x:v>
      </x:c>
      <x:c r="E64" s="72" t="str">
        <x:v>Telemetry retention or integrity failures undermine operations, investigations, and product decisions.</x:v>
      </x:c>
    </x:row>
    <x:row r="65">
      <x:c r="A65" s="72" t="str">
        <x:v>NF-RSK-018</x:v>
      </x:c>
      <x:c r="B65" s="72" t="str">
        <x:v>NF-AST-001</x:v>
      </x:c>
      <x:c r="C65" s="72" t="str">
        <x:v>Primary</x:v>
      </x:c>
      <x:c r="D65" s="72" t="str">
        <x:v>Business Resilience &amp; Fraud</x:v>
      </x:c>
      <x:c r="E65" s="72" t="str">
        <x:v>Business email compromise causes fraudulent payment or unauthorized financial change.</x:v>
      </x:c>
    </x:row>
    <x:row r="66">
      <x:c r="A66" s="72" t="str">
        <x:v>NF-RSK-018</x:v>
      </x:c>
      <x:c r="B66" s="72" t="str">
        <x:v>NF-AST-030</x:v>
      </x:c>
      <x:c r="C66" s="72" t="str">
        <x:v>Related</x:v>
      </x:c>
      <x:c r="D66" s="72" t="str">
        <x:v>Business Resilience &amp; Fraud</x:v>
      </x:c>
      <x:c r="E66" s="72" t="str">
        <x:v>Business email compromise causes fraudulent payment or unauthorized financial change.</x:v>
      </x:c>
    </x:row>
    <x:row r="67">
      <x:c r="A67" s="72" t="str">
        <x:v>NF-RSK-019</x:v>
      </x:c>
      <x:c r="B67" s="72" t="str">
        <x:v>NF-AST-024</x:v>
      </x:c>
      <x:c r="C67" s="72" t="str">
        <x:v>Primary</x:v>
      </x:c>
      <x:c r="D67" s="72" t="str">
        <x:v>Operational Technology</x:v>
      </x:c>
      <x:c r="E67" s="72" t="str">
        <x:v>Malware introduced through an OT engineering workstation or removable media disrupts controllers.</x:v>
      </x:c>
    </x:row>
    <x:row r="68">
      <x:c r="A68" s="72" t="str">
        <x:v>NF-RSK-019</x:v>
      </x:c>
      <x:c r="B68" s="72" t="str">
        <x:v>NF-AST-023</x:v>
      </x:c>
      <x:c r="C68" s="72" t="str">
        <x:v>Related</x:v>
      </x:c>
      <x:c r="D68" s="72" t="str">
        <x:v>Operational Technology</x:v>
      </x:c>
      <x:c r="E68" s="72" t="str">
        <x:v>Malware introduced through an OT engineering workstation or removable media disrupts controllers.</x:v>
      </x:c>
    </x:row>
    <x:row r="69">
      <x:c r="A69" s="72" t="str">
        <x:v>NF-RSK-019</x:v>
      </x:c>
      <x:c r="B69" s="72" t="str">
        <x:v>NF-AST-026</x:v>
      </x:c>
      <x:c r="C69" s="72" t="str">
        <x:v>Related</x:v>
      </x:c>
      <x:c r="D69" s="72" t="str">
        <x:v>Operational Technology</x:v>
      </x:c>
      <x:c r="E69" s="72" t="str">
        <x:v>Malware introduced through an OT engineering workstation or removable media disrupts controllers.</x:v>
      </x:c>
    </x:row>
    <x:row r="70">
      <x:c r="A70" s="72" t="str">
        <x:v>NF-RSK-020</x:v>
      </x:c>
      <x:c r="B70" s="72" t="str">
        <x:v>NF-AST-025</x:v>
      </x:c>
      <x:c r="C70" s="72" t="str">
        <x:v>Primary</x:v>
      </x:c>
      <x:c r="D70" s="72" t="str">
        <x:v>Operational Technology</x:v>
      </x:c>
      <x:c r="E70" s="72" t="str">
        <x:v>Segmentation failure permits lateral movement between corporate and manufacturing networks.</x:v>
      </x:c>
    </x:row>
    <x:row r="71">
      <x:c r="A71" s="72" t="str">
        <x:v>NF-RSK-020</x:v>
      </x:c>
      <x:c r="B71" s="72" t="str">
        <x:v>NF-AST-012</x:v>
      </x:c>
      <x:c r="C71" s="72" t="str">
        <x:v>Related</x:v>
      </x:c>
      <x:c r="D71" s="72" t="str">
        <x:v>Operational Technology</x:v>
      </x:c>
      <x:c r="E71" s="72" t="str">
        <x:v>Segmentation failure permits lateral movement between corporate and manufacturing networks.</x:v>
      </x:c>
    </x:row>
    <x:row r="72">
      <x:c r="A72" s="73" t="str">
        <x:v>NF-RSK-020</x:v>
      </x:c>
      <x:c r="B72" s="73" t="str">
        <x:v>NF-AST-014</x:v>
      </x:c>
      <x:c r="C72" s="73" t="str">
        <x:v>Related</x:v>
      </x:c>
      <x:c r="D72" s="73" t="str">
        <x:v>Operational Technology</x:v>
      </x:c>
      <x:c r="E72" s="73" t="str">
        <x:v>Segmentation failure permits lateral movement between corporate and manufacturing networks.</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24" hidden="0" customWidth="1"/>
    <x:col min="4" max="4" width="24" hidden="0" customWidth="1"/>
    <x:col min="5" max="5" width="78" hidden="0" customWidth="1"/>
    <x:col min="6" max="6" width="22" hidden="0" customWidth="1"/>
  </x:cols>
  <x:sheetData>
    <x:row r="1">
      <x:c r="A1" s="3" t="str">
        <x:v>NF-GRC-005 — Revision &amp; Approval History</x:v>
      </x:c>
      <x:c r="B1" s="1"/>
      <x:c r="C1" s="1"/>
      <x:c r="D1" s="1"/>
      <x:c r="E1" s="1"/>
      <x:c r="F1" s="1"/>
    </x:row>
    <x:row r="2">
      <x:c r="A2" s="6" t="str">
        <x:v>Controlled record of assessment development, review, and approval</x:v>
      </x:c>
      <x:c r="B2" s="4"/>
      <x:c r="C2" s="4"/>
      <x:c r="D2" s="4"/>
      <x:c r="E2" s="4"/>
      <x:c r="F2" s="4"/>
    </x:row>
    <x:row r="4">
      <x:c r="A4" s="84" t="str">
        <x:v>Version</x:v>
      </x:c>
      <x:c r="B4" s="85" t="str">
        <x:v>Date</x:v>
      </x:c>
      <x:c r="C4" s="85" t="str">
        <x:v>Custodian</x:v>
      </x:c>
      <x:c r="D4" s="85" t="str">
        <x:v>Reviewer</x:v>
      </x:c>
      <x:c r="E4" s="85" t="str">
        <x:v>Change Summary</x:v>
      </x:c>
      <x:c r="F4" s="86" t="str">
        <x:v>Approval Status</x:v>
      </x:c>
    </x:row>
    <x:row r="5" ht="60" customHeight="1">
      <x:c r="A5" s="233" t="str">
        <x:v>0.1</x:v>
      </x:c>
      <x:c r="B5" s="234" t="n">
        <x:v>46251</x:v>
      </x:c>
      <x:c r="C5" s="233" t="str">
        <x:v>GRC Analyst</x:v>
      </x:c>
      <x:c r="D5" s="233" t="str">
        <x:v>IT Manager</x:v>
      </x:c>
      <x:c r="E5" s="233" t="str">
        <x:v>Initial draft: 20 prioritized risk scenarios covering all 35 baseline assets, with inherent and residual ratings, treatment direction, NIST CSF 2.0 mapping, and management summary.</x:v>
      </x:c>
      <x:c r="F5" s="236" t="str">
        <x:v>Draft for Review</x:v>
      </x:c>
    </x:row>
    <x:row r="6" ht="60" customHeight="1">
      <x:c r="A6" s="249" t="str">
        <x:v>1.0</x:v>
      </x:c>
      <x:c r="B6" s="247" t="n">
        <x:v>46252</x:v>
      </x:c>
      <x:c r="C6" s="246" t="str">
        <x:v>GRC Analyst</x:v>
      </x:c>
      <x:c r="D6" s="246" t="str">
        <x:v>IT Manager</x:v>
      </x:c>
      <x:c r="E6" s="246" t="str">
        <x:v>Approved baseline following analyst review of scoring rationale, risk ownership, control effectiveness, evidence expectations, and OT risk treatment logic.</x:v>
      </x:c>
      <x:c r="F6" s="251" t="str">
        <x:v>Approved — CIO</x:v>
      </x:c>
    </x:row>
  </x:sheetData>
  <x:pageMargins left="0.7" right="0.7" top="0.75" bottom="0.75" header="0.3" footer="0.3"/>
</x:worksheet>
</file>